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2.xml" ContentType="application/vnd.openxmlformats-officedocument.drawing+xml"/>
  <Override PartName="/xl/drawings/drawing3.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C:\Users\user\Documents\Project Folder\"/>
    </mc:Choice>
  </mc:AlternateContent>
  <xr:revisionPtr revIDLastSave="0" documentId="8_{9B551139-EBED-4264-9FDF-9B8B8F2EFE39}" xr6:coauthVersionLast="47" xr6:coauthVersionMax="47" xr10:uidLastSave="{00000000-0000-0000-0000-000000000000}"/>
  <bookViews>
    <workbookView xWindow="-108" yWindow="-108" windowWidth="23256" windowHeight="12456" xr2:uid="{8CDEEBF0-10C1-4D91-BB1E-1A32E5DBB3DA}"/>
  </bookViews>
  <sheets>
    <sheet name="Citybites_Data" sheetId="1" r:id="rId1"/>
    <sheet name="Pivot_Analysis" sheetId="5" r:id="rId2"/>
    <sheet name="Dashboard" sheetId="6" r:id="rId3"/>
  </sheets>
  <definedNames>
    <definedName name="_xlcn.WorksheetConnection_OmolaraMercyCookiesSalesAnalysisDashboard.xlsxTable11" hidden="1">Table1[]</definedName>
    <definedName name="Slicer_City1">#N/A</definedName>
    <definedName name="Slicer_OrderStatus1">#N/A</definedName>
    <definedName name="Slicer_RestaurantName1">#N/A</definedName>
  </definedNames>
  <calcPr calcId="191029"/>
  <pivotCaches>
    <pivotCache cacheId="680" r:id="rId4"/>
    <pivotCache cacheId="683" r:id="rId5"/>
    <pivotCache cacheId="686" r:id="rId6"/>
    <pivotCache cacheId="689" r:id="rId7"/>
    <pivotCache cacheId="692" r:id="rId8"/>
    <pivotCache cacheId="695" r:id="rId9"/>
    <pivotCache cacheId="698" r:id="rId10"/>
    <pivotCache cacheId="701" r:id="rId11"/>
    <pivotCache cacheId="704" r:id="rId12"/>
    <pivotCache cacheId="707" r:id="rId13"/>
    <pivotCache cacheId="710" r:id="rId14"/>
    <pivotCache cacheId="713" r:id="rId15"/>
    <pivotCache cacheId="716" r:id="rId16"/>
  </pivotCaches>
  <extLst>
    <ext xmlns:x14="http://schemas.microsoft.com/office/spreadsheetml/2009/9/main" uri="{876F7934-8845-4945-9796-88D515C7AA90}">
      <x14:pivotCaches>
        <pivotCache cacheId="13" r:id="rId17"/>
        <pivotCache cacheId="14" r:id="rId18"/>
      </x14:pivotCaches>
    </ext>
    <ext xmlns:x14="http://schemas.microsoft.com/office/spreadsheetml/2009/9/main" uri="{BBE1A952-AA13-448e-AADC-164F8A28A991}">
      <x14:slicerCaches>
        <x14:slicerCache r:id="rId19"/>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Omolara Mercy Cookies Sales Analysis Dashboard.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U201" i="1" l="1"/>
  <c r="R201" i="1"/>
  <c r="P201" i="1"/>
  <c r="O201" i="1"/>
  <c r="I201" i="1"/>
  <c r="U200" i="1"/>
  <c r="R200" i="1"/>
  <c r="P200" i="1"/>
  <c r="O200" i="1"/>
  <c r="I200" i="1"/>
  <c r="U199" i="1"/>
  <c r="R199" i="1"/>
  <c r="P199" i="1"/>
  <c r="O199" i="1"/>
  <c r="I199" i="1"/>
  <c r="U198" i="1"/>
  <c r="R198" i="1"/>
  <c r="P198" i="1"/>
  <c r="O198" i="1"/>
  <c r="I198" i="1"/>
  <c r="U197" i="1"/>
  <c r="R197" i="1"/>
  <c r="P197" i="1"/>
  <c r="O197" i="1"/>
  <c r="I197" i="1"/>
  <c r="U196" i="1"/>
  <c r="R196" i="1"/>
  <c r="P196" i="1"/>
  <c r="O196" i="1"/>
  <c r="I196" i="1"/>
  <c r="U195" i="1"/>
  <c r="R195" i="1"/>
  <c r="P195" i="1"/>
  <c r="O195" i="1"/>
  <c r="I195" i="1"/>
  <c r="U194" i="1"/>
  <c r="R194" i="1"/>
  <c r="P194" i="1"/>
  <c r="O194" i="1"/>
  <c r="I194" i="1"/>
  <c r="U193" i="1"/>
  <c r="R193" i="1"/>
  <c r="P193" i="1"/>
  <c r="O193" i="1"/>
  <c r="I193" i="1"/>
  <c r="U192" i="1"/>
  <c r="R192" i="1"/>
  <c r="P192" i="1"/>
  <c r="O192" i="1"/>
  <c r="I192" i="1"/>
  <c r="U191" i="1"/>
  <c r="R191" i="1"/>
  <c r="P191" i="1"/>
  <c r="O191" i="1"/>
  <c r="I191" i="1"/>
  <c r="U190" i="1"/>
  <c r="R190" i="1"/>
  <c r="P190" i="1"/>
  <c r="O190" i="1"/>
  <c r="I190" i="1"/>
  <c r="U189" i="1"/>
  <c r="R189" i="1"/>
  <c r="P189" i="1"/>
  <c r="O189" i="1"/>
  <c r="I189" i="1"/>
  <c r="U188" i="1"/>
  <c r="R188" i="1"/>
  <c r="P188" i="1"/>
  <c r="O188" i="1"/>
  <c r="I188" i="1"/>
  <c r="U187" i="1"/>
  <c r="R187" i="1"/>
  <c r="P187" i="1"/>
  <c r="O187" i="1"/>
  <c r="I187" i="1"/>
  <c r="U186" i="1"/>
  <c r="R186" i="1"/>
  <c r="P186" i="1"/>
  <c r="O186" i="1"/>
  <c r="I186" i="1"/>
  <c r="U185" i="1"/>
  <c r="R185" i="1"/>
  <c r="P185" i="1"/>
  <c r="O185" i="1"/>
  <c r="I185" i="1"/>
  <c r="U184" i="1"/>
  <c r="R184" i="1"/>
  <c r="P184" i="1"/>
  <c r="O184" i="1"/>
  <c r="I184" i="1"/>
  <c r="U183" i="1"/>
  <c r="R183" i="1"/>
  <c r="P183" i="1"/>
  <c r="O183" i="1"/>
  <c r="I183" i="1"/>
  <c r="U182" i="1"/>
  <c r="R182" i="1"/>
  <c r="P182" i="1"/>
  <c r="O182" i="1"/>
  <c r="I182" i="1"/>
  <c r="U181" i="1"/>
  <c r="R181" i="1"/>
  <c r="P181" i="1"/>
  <c r="O181" i="1"/>
  <c r="I181" i="1"/>
  <c r="U180" i="1"/>
  <c r="R180" i="1"/>
  <c r="P180" i="1"/>
  <c r="O180" i="1"/>
  <c r="I180" i="1"/>
  <c r="U179" i="1"/>
  <c r="R179" i="1"/>
  <c r="P179" i="1"/>
  <c r="O179" i="1"/>
  <c r="I179" i="1"/>
  <c r="U178" i="1"/>
  <c r="R178" i="1"/>
  <c r="P178" i="1"/>
  <c r="O178" i="1"/>
  <c r="I178" i="1"/>
  <c r="U177" i="1"/>
  <c r="R177" i="1"/>
  <c r="P177" i="1"/>
  <c r="O177" i="1"/>
  <c r="I177" i="1"/>
  <c r="U176" i="1"/>
  <c r="R176" i="1"/>
  <c r="P176" i="1"/>
  <c r="O176" i="1"/>
  <c r="I176" i="1"/>
  <c r="U175" i="1"/>
  <c r="R175" i="1"/>
  <c r="P175" i="1"/>
  <c r="O175" i="1"/>
  <c r="I175" i="1"/>
  <c r="U174" i="1"/>
  <c r="R174" i="1"/>
  <c r="P174" i="1"/>
  <c r="O174" i="1"/>
  <c r="I174" i="1"/>
  <c r="U173" i="1"/>
  <c r="R173" i="1"/>
  <c r="P173" i="1"/>
  <c r="O173" i="1"/>
  <c r="I173" i="1"/>
  <c r="U172" i="1"/>
  <c r="R172" i="1"/>
  <c r="P172" i="1"/>
  <c r="O172" i="1"/>
  <c r="I172" i="1"/>
  <c r="U171" i="1"/>
  <c r="R171" i="1"/>
  <c r="P171" i="1"/>
  <c r="O171" i="1"/>
  <c r="I171" i="1"/>
  <c r="U170" i="1"/>
  <c r="R170" i="1"/>
  <c r="P170" i="1"/>
  <c r="O170" i="1"/>
  <c r="I170" i="1"/>
  <c r="U169" i="1"/>
  <c r="R169" i="1"/>
  <c r="P169" i="1"/>
  <c r="O169" i="1"/>
  <c r="I169" i="1"/>
  <c r="U168" i="1"/>
  <c r="R168" i="1"/>
  <c r="P168" i="1"/>
  <c r="O168" i="1"/>
  <c r="I168" i="1"/>
  <c r="U167" i="1"/>
  <c r="R167" i="1"/>
  <c r="P167" i="1"/>
  <c r="O167" i="1"/>
  <c r="I167" i="1"/>
  <c r="U166" i="1"/>
  <c r="R166" i="1"/>
  <c r="P166" i="1"/>
  <c r="O166" i="1"/>
  <c r="I166" i="1"/>
  <c r="U165" i="1"/>
  <c r="R165" i="1"/>
  <c r="P165" i="1"/>
  <c r="O165" i="1"/>
  <c r="I165" i="1"/>
  <c r="U164" i="1"/>
  <c r="R164" i="1"/>
  <c r="P164" i="1"/>
  <c r="O164" i="1"/>
  <c r="I164" i="1"/>
  <c r="U163" i="1"/>
  <c r="R163" i="1"/>
  <c r="P163" i="1"/>
  <c r="O163" i="1"/>
  <c r="I163" i="1"/>
  <c r="U162" i="1"/>
  <c r="R162" i="1"/>
  <c r="P162" i="1"/>
  <c r="O162" i="1"/>
  <c r="I162" i="1"/>
  <c r="U161" i="1"/>
  <c r="R161" i="1"/>
  <c r="P161" i="1"/>
  <c r="O161" i="1"/>
  <c r="I161" i="1"/>
  <c r="U160" i="1"/>
  <c r="R160" i="1"/>
  <c r="P160" i="1"/>
  <c r="O160" i="1"/>
  <c r="I160" i="1"/>
  <c r="U159" i="1"/>
  <c r="R159" i="1"/>
  <c r="P159" i="1"/>
  <c r="O159" i="1"/>
  <c r="I159" i="1"/>
  <c r="U158" i="1"/>
  <c r="R158" i="1"/>
  <c r="P158" i="1"/>
  <c r="O158" i="1"/>
  <c r="I158" i="1"/>
  <c r="U157" i="1"/>
  <c r="R157" i="1"/>
  <c r="P157" i="1"/>
  <c r="O157" i="1"/>
  <c r="I157" i="1"/>
  <c r="U156" i="1"/>
  <c r="R156" i="1"/>
  <c r="P156" i="1"/>
  <c r="O156" i="1"/>
  <c r="I156" i="1"/>
  <c r="U155" i="1"/>
  <c r="R155" i="1"/>
  <c r="P155" i="1"/>
  <c r="O155" i="1"/>
  <c r="I155" i="1"/>
  <c r="U154" i="1"/>
  <c r="R154" i="1"/>
  <c r="P154" i="1"/>
  <c r="O154" i="1"/>
  <c r="I154" i="1"/>
  <c r="U153" i="1"/>
  <c r="R153" i="1"/>
  <c r="P153" i="1"/>
  <c r="O153" i="1"/>
  <c r="I153" i="1"/>
  <c r="U152" i="1"/>
  <c r="R152" i="1"/>
  <c r="P152" i="1"/>
  <c r="O152" i="1"/>
  <c r="I152" i="1"/>
  <c r="U151" i="1"/>
  <c r="R151" i="1"/>
  <c r="P151" i="1"/>
  <c r="O151" i="1"/>
  <c r="I151" i="1"/>
  <c r="U150" i="1"/>
  <c r="R150" i="1"/>
  <c r="P150" i="1"/>
  <c r="O150" i="1"/>
  <c r="I150" i="1"/>
  <c r="U149" i="1"/>
  <c r="R149" i="1"/>
  <c r="P149" i="1"/>
  <c r="O149" i="1"/>
  <c r="I149" i="1"/>
  <c r="U148" i="1"/>
  <c r="R148" i="1"/>
  <c r="P148" i="1"/>
  <c r="O148" i="1"/>
  <c r="I148" i="1"/>
  <c r="U147" i="1"/>
  <c r="R147" i="1"/>
  <c r="P147" i="1"/>
  <c r="O147" i="1"/>
  <c r="I147" i="1"/>
  <c r="U146" i="1"/>
  <c r="R146" i="1"/>
  <c r="P146" i="1"/>
  <c r="O146" i="1"/>
  <c r="I146" i="1"/>
  <c r="U145" i="1"/>
  <c r="R145" i="1"/>
  <c r="P145" i="1"/>
  <c r="O145" i="1"/>
  <c r="I145" i="1"/>
  <c r="U144" i="1"/>
  <c r="R144" i="1"/>
  <c r="P144" i="1"/>
  <c r="O144" i="1"/>
  <c r="I144" i="1"/>
  <c r="U143" i="1"/>
  <c r="R143" i="1"/>
  <c r="P143" i="1"/>
  <c r="O143" i="1"/>
  <c r="I143" i="1"/>
  <c r="U142" i="1"/>
  <c r="R142" i="1"/>
  <c r="P142" i="1"/>
  <c r="O142" i="1"/>
  <c r="I142" i="1"/>
  <c r="U141" i="1"/>
  <c r="R141" i="1"/>
  <c r="P141" i="1"/>
  <c r="O141" i="1"/>
  <c r="I141" i="1"/>
  <c r="U140" i="1"/>
  <c r="R140" i="1"/>
  <c r="P140" i="1"/>
  <c r="O140" i="1"/>
  <c r="I140" i="1"/>
  <c r="U139" i="1"/>
  <c r="R139" i="1"/>
  <c r="P139" i="1"/>
  <c r="O139" i="1"/>
  <c r="I139" i="1"/>
  <c r="U138" i="1"/>
  <c r="R138" i="1"/>
  <c r="P138" i="1"/>
  <c r="O138" i="1"/>
  <c r="I138" i="1"/>
  <c r="U137" i="1"/>
  <c r="R137" i="1"/>
  <c r="P137" i="1"/>
  <c r="O137" i="1"/>
  <c r="I137" i="1"/>
  <c r="U136" i="1"/>
  <c r="R136" i="1"/>
  <c r="P136" i="1"/>
  <c r="O136" i="1"/>
  <c r="I136" i="1"/>
  <c r="U135" i="1"/>
  <c r="R135" i="1"/>
  <c r="P135" i="1"/>
  <c r="O135" i="1"/>
  <c r="I135" i="1"/>
  <c r="U134" i="1"/>
  <c r="R134" i="1"/>
  <c r="P134" i="1"/>
  <c r="O134" i="1"/>
  <c r="I134" i="1"/>
  <c r="U133" i="1"/>
  <c r="R133" i="1"/>
  <c r="P133" i="1"/>
  <c r="O133" i="1"/>
  <c r="I133" i="1"/>
  <c r="U132" i="1"/>
  <c r="R132" i="1"/>
  <c r="P132" i="1"/>
  <c r="O132" i="1"/>
  <c r="I132" i="1"/>
  <c r="U131" i="1"/>
  <c r="R131" i="1"/>
  <c r="P131" i="1"/>
  <c r="O131" i="1"/>
  <c r="I131" i="1"/>
  <c r="U130" i="1"/>
  <c r="R130" i="1"/>
  <c r="P130" i="1"/>
  <c r="O130" i="1"/>
  <c r="I130" i="1"/>
  <c r="U129" i="1"/>
  <c r="R129" i="1"/>
  <c r="P129" i="1"/>
  <c r="O129" i="1"/>
  <c r="I129" i="1"/>
  <c r="U128" i="1"/>
  <c r="R128" i="1"/>
  <c r="P128" i="1"/>
  <c r="O128" i="1"/>
  <c r="I128" i="1"/>
  <c r="U127" i="1"/>
  <c r="R127" i="1"/>
  <c r="P127" i="1"/>
  <c r="O127" i="1"/>
  <c r="I127" i="1"/>
  <c r="U126" i="1"/>
  <c r="R126" i="1"/>
  <c r="P126" i="1"/>
  <c r="O126" i="1"/>
  <c r="I126" i="1"/>
  <c r="U125" i="1"/>
  <c r="R125" i="1"/>
  <c r="P125" i="1"/>
  <c r="O125" i="1"/>
  <c r="I125" i="1"/>
  <c r="U124" i="1"/>
  <c r="R124" i="1"/>
  <c r="P124" i="1"/>
  <c r="O124" i="1"/>
  <c r="I124" i="1"/>
  <c r="U123" i="1"/>
  <c r="R123" i="1"/>
  <c r="P123" i="1"/>
  <c r="O123" i="1"/>
  <c r="I123" i="1"/>
  <c r="U122" i="1"/>
  <c r="R122" i="1"/>
  <c r="P122" i="1"/>
  <c r="O122" i="1"/>
  <c r="I122" i="1"/>
  <c r="U121" i="1"/>
  <c r="R121" i="1"/>
  <c r="P121" i="1"/>
  <c r="O121" i="1"/>
  <c r="I121" i="1"/>
  <c r="U120" i="1"/>
  <c r="R120" i="1"/>
  <c r="P120" i="1"/>
  <c r="O120" i="1"/>
  <c r="I120" i="1"/>
  <c r="U119" i="1"/>
  <c r="R119" i="1"/>
  <c r="P119" i="1"/>
  <c r="O119" i="1"/>
  <c r="I119" i="1"/>
  <c r="U118" i="1"/>
  <c r="R118" i="1"/>
  <c r="P118" i="1"/>
  <c r="O118" i="1"/>
  <c r="I118" i="1"/>
  <c r="U117" i="1"/>
  <c r="R117" i="1"/>
  <c r="P117" i="1"/>
  <c r="O117" i="1"/>
  <c r="I117" i="1"/>
  <c r="U116" i="1"/>
  <c r="R116" i="1"/>
  <c r="P116" i="1"/>
  <c r="O116" i="1"/>
  <c r="I116" i="1"/>
  <c r="U115" i="1"/>
  <c r="R115" i="1"/>
  <c r="P115" i="1"/>
  <c r="O115" i="1"/>
  <c r="I115" i="1"/>
  <c r="U114" i="1"/>
  <c r="R114" i="1"/>
  <c r="P114" i="1"/>
  <c r="O114" i="1"/>
  <c r="I114" i="1"/>
  <c r="U113" i="1"/>
  <c r="R113" i="1"/>
  <c r="P113" i="1"/>
  <c r="O113" i="1"/>
  <c r="I113" i="1"/>
  <c r="U112" i="1"/>
  <c r="R112" i="1"/>
  <c r="P112" i="1"/>
  <c r="O112" i="1"/>
  <c r="I112" i="1"/>
  <c r="U111" i="1"/>
  <c r="R111" i="1"/>
  <c r="P111" i="1"/>
  <c r="O111" i="1"/>
  <c r="I111" i="1"/>
  <c r="U110" i="1"/>
  <c r="R110" i="1"/>
  <c r="P110" i="1"/>
  <c r="O110" i="1"/>
  <c r="I110" i="1"/>
  <c r="U109" i="1"/>
  <c r="R109" i="1"/>
  <c r="P109" i="1"/>
  <c r="O109" i="1"/>
  <c r="I109" i="1"/>
  <c r="U108" i="1"/>
  <c r="R108" i="1"/>
  <c r="P108" i="1"/>
  <c r="O108" i="1"/>
  <c r="I108" i="1"/>
  <c r="U107" i="1"/>
  <c r="R107" i="1"/>
  <c r="P107" i="1"/>
  <c r="O107" i="1"/>
  <c r="I107" i="1"/>
  <c r="U106" i="1"/>
  <c r="R106" i="1"/>
  <c r="P106" i="1"/>
  <c r="O106" i="1"/>
  <c r="I106" i="1"/>
  <c r="U105" i="1"/>
  <c r="R105" i="1"/>
  <c r="P105" i="1"/>
  <c r="O105" i="1"/>
  <c r="I105" i="1"/>
  <c r="U104" i="1"/>
  <c r="R104" i="1"/>
  <c r="P104" i="1"/>
  <c r="O104" i="1"/>
  <c r="I104" i="1"/>
  <c r="U103" i="1"/>
  <c r="R103" i="1"/>
  <c r="P103" i="1"/>
  <c r="O103" i="1"/>
  <c r="I103" i="1"/>
  <c r="U102" i="1"/>
  <c r="R102" i="1"/>
  <c r="P102" i="1"/>
  <c r="O102" i="1"/>
  <c r="I102" i="1"/>
  <c r="U101" i="1"/>
  <c r="R101" i="1"/>
  <c r="P101" i="1"/>
  <c r="O101" i="1"/>
  <c r="I101" i="1"/>
  <c r="U100" i="1"/>
  <c r="R100" i="1"/>
  <c r="P100" i="1"/>
  <c r="O100" i="1"/>
  <c r="I100" i="1"/>
  <c r="U99" i="1"/>
  <c r="R99" i="1"/>
  <c r="P99" i="1"/>
  <c r="O99" i="1"/>
  <c r="I99" i="1"/>
  <c r="U98" i="1"/>
  <c r="R98" i="1"/>
  <c r="P98" i="1"/>
  <c r="O98" i="1"/>
  <c r="I98" i="1"/>
  <c r="U97" i="1"/>
  <c r="R97" i="1"/>
  <c r="P97" i="1"/>
  <c r="O97" i="1"/>
  <c r="I97" i="1"/>
  <c r="U96" i="1"/>
  <c r="R96" i="1"/>
  <c r="P96" i="1"/>
  <c r="O96" i="1"/>
  <c r="I96" i="1"/>
  <c r="U95" i="1"/>
  <c r="R95" i="1"/>
  <c r="P95" i="1"/>
  <c r="O95" i="1"/>
  <c r="I95" i="1"/>
  <c r="U94" i="1"/>
  <c r="R94" i="1"/>
  <c r="P94" i="1"/>
  <c r="O94" i="1"/>
  <c r="I94" i="1"/>
  <c r="U93" i="1"/>
  <c r="R93" i="1"/>
  <c r="P93" i="1"/>
  <c r="O93" i="1"/>
  <c r="I93" i="1"/>
  <c r="U92" i="1"/>
  <c r="R92" i="1"/>
  <c r="P92" i="1"/>
  <c r="O92" i="1"/>
  <c r="I92" i="1"/>
  <c r="U91" i="1"/>
  <c r="R91" i="1"/>
  <c r="P91" i="1"/>
  <c r="O91" i="1"/>
  <c r="I91" i="1"/>
  <c r="U90" i="1"/>
  <c r="R90" i="1"/>
  <c r="P90" i="1"/>
  <c r="O90" i="1"/>
  <c r="I90" i="1"/>
  <c r="U89" i="1"/>
  <c r="R89" i="1"/>
  <c r="P89" i="1"/>
  <c r="O89" i="1"/>
  <c r="I89" i="1"/>
  <c r="U88" i="1"/>
  <c r="R88" i="1"/>
  <c r="P88" i="1"/>
  <c r="O88" i="1"/>
  <c r="I88" i="1"/>
  <c r="U87" i="1"/>
  <c r="R87" i="1"/>
  <c r="P87" i="1"/>
  <c r="O87" i="1"/>
  <c r="I87" i="1"/>
  <c r="U86" i="1"/>
  <c r="R86" i="1"/>
  <c r="P86" i="1"/>
  <c r="O86" i="1"/>
  <c r="I86" i="1"/>
  <c r="U85" i="1"/>
  <c r="R85" i="1"/>
  <c r="P85" i="1"/>
  <c r="O85" i="1"/>
  <c r="I85" i="1"/>
  <c r="U84" i="1"/>
  <c r="R84" i="1"/>
  <c r="P84" i="1"/>
  <c r="O84" i="1"/>
  <c r="I84" i="1"/>
  <c r="U83" i="1"/>
  <c r="R83" i="1"/>
  <c r="P83" i="1"/>
  <c r="O83" i="1"/>
  <c r="I83" i="1"/>
  <c r="U82" i="1"/>
  <c r="R82" i="1"/>
  <c r="P82" i="1"/>
  <c r="O82" i="1"/>
  <c r="I82" i="1"/>
  <c r="U81" i="1"/>
  <c r="R81" i="1"/>
  <c r="P81" i="1"/>
  <c r="O81" i="1"/>
  <c r="I81" i="1"/>
  <c r="U80" i="1"/>
  <c r="R80" i="1"/>
  <c r="P80" i="1"/>
  <c r="O80" i="1"/>
  <c r="I80" i="1"/>
  <c r="U79" i="1"/>
  <c r="R79" i="1"/>
  <c r="P79" i="1"/>
  <c r="O79" i="1"/>
  <c r="I79" i="1"/>
  <c r="U78" i="1"/>
  <c r="R78" i="1"/>
  <c r="P78" i="1"/>
  <c r="O78" i="1"/>
  <c r="I78" i="1"/>
  <c r="U77" i="1"/>
  <c r="R77" i="1"/>
  <c r="P77" i="1"/>
  <c r="O77" i="1"/>
  <c r="I77" i="1"/>
  <c r="U76" i="1"/>
  <c r="R76" i="1"/>
  <c r="P76" i="1"/>
  <c r="O76" i="1"/>
  <c r="I76" i="1"/>
  <c r="U75" i="1"/>
  <c r="R75" i="1"/>
  <c r="P75" i="1"/>
  <c r="O75" i="1"/>
  <c r="I75" i="1"/>
  <c r="U74" i="1"/>
  <c r="R74" i="1"/>
  <c r="P74" i="1"/>
  <c r="O74" i="1"/>
  <c r="I74" i="1"/>
  <c r="U73" i="1"/>
  <c r="R73" i="1"/>
  <c r="P73" i="1"/>
  <c r="O73" i="1"/>
  <c r="I73" i="1"/>
  <c r="U72" i="1"/>
  <c r="R72" i="1"/>
  <c r="P72" i="1"/>
  <c r="O72" i="1"/>
  <c r="I72" i="1"/>
  <c r="U71" i="1"/>
  <c r="R71" i="1"/>
  <c r="P71" i="1"/>
  <c r="O71" i="1"/>
  <c r="I71" i="1"/>
  <c r="U70" i="1"/>
  <c r="R70" i="1"/>
  <c r="P70" i="1"/>
  <c r="O70" i="1"/>
  <c r="I70" i="1"/>
  <c r="U69" i="1"/>
  <c r="R69" i="1"/>
  <c r="P69" i="1"/>
  <c r="O69" i="1"/>
  <c r="I69" i="1"/>
  <c r="U68" i="1"/>
  <c r="R68" i="1"/>
  <c r="P68" i="1"/>
  <c r="O68" i="1"/>
  <c r="I68" i="1"/>
  <c r="U67" i="1"/>
  <c r="R67" i="1"/>
  <c r="P67" i="1"/>
  <c r="O67" i="1"/>
  <c r="I67" i="1"/>
  <c r="U66" i="1"/>
  <c r="R66" i="1"/>
  <c r="P66" i="1"/>
  <c r="O66" i="1"/>
  <c r="I66" i="1"/>
  <c r="U65" i="1"/>
  <c r="R65" i="1"/>
  <c r="P65" i="1"/>
  <c r="O65" i="1"/>
  <c r="I65" i="1"/>
  <c r="U64" i="1"/>
  <c r="R64" i="1"/>
  <c r="P64" i="1"/>
  <c r="O64" i="1"/>
  <c r="I64" i="1"/>
  <c r="U63" i="1"/>
  <c r="R63" i="1"/>
  <c r="P63" i="1"/>
  <c r="O63" i="1"/>
  <c r="I63" i="1"/>
  <c r="U62" i="1"/>
  <c r="R62" i="1"/>
  <c r="P62" i="1"/>
  <c r="O62" i="1"/>
  <c r="I62" i="1"/>
  <c r="U61" i="1"/>
  <c r="R61" i="1"/>
  <c r="P61" i="1"/>
  <c r="O61" i="1"/>
  <c r="I61" i="1"/>
  <c r="U60" i="1"/>
  <c r="R60" i="1"/>
  <c r="P60" i="1"/>
  <c r="O60" i="1"/>
  <c r="I60" i="1"/>
  <c r="U59" i="1"/>
  <c r="R59" i="1"/>
  <c r="P59" i="1"/>
  <c r="O59" i="1"/>
  <c r="I59" i="1"/>
  <c r="U58" i="1"/>
  <c r="R58" i="1"/>
  <c r="P58" i="1"/>
  <c r="O58" i="1"/>
  <c r="I58" i="1"/>
  <c r="U57" i="1"/>
  <c r="R57" i="1"/>
  <c r="P57" i="1"/>
  <c r="O57" i="1"/>
  <c r="I57" i="1"/>
  <c r="U56" i="1"/>
  <c r="R56" i="1"/>
  <c r="P56" i="1"/>
  <c r="O56" i="1"/>
  <c r="I56" i="1"/>
  <c r="U55" i="1"/>
  <c r="R55" i="1"/>
  <c r="P55" i="1"/>
  <c r="O55" i="1"/>
  <c r="I55" i="1"/>
  <c r="U54" i="1"/>
  <c r="R54" i="1"/>
  <c r="P54" i="1"/>
  <c r="O54" i="1"/>
  <c r="I54" i="1"/>
  <c r="U53" i="1"/>
  <c r="R53" i="1"/>
  <c r="P53" i="1"/>
  <c r="O53" i="1"/>
  <c r="I53" i="1"/>
  <c r="U52" i="1"/>
  <c r="R52" i="1"/>
  <c r="P52" i="1"/>
  <c r="O52" i="1"/>
  <c r="I52" i="1"/>
  <c r="U51" i="1"/>
  <c r="R51" i="1"/>
  <c r="P51" i="1"/>
  <c r="O51" i="1"/>
  <c r="I51" i="1"/>
  <c r="U50" i="1"/>
  <c r="R50" i="1"/>
  <c r="P50" i="1"/>
  <c r="O50" i="1"/>
  <c r="I50" i="1"/>
  <c r="U49" i="1"/>
  <c r="R49" i="1"/>
  <c r="P49" i="1"/>
  <c r="O49" i="1"/>
  <c r="I49" i="1"/>
  <c r="U48" i="1"/>
  <c r="R48" i="1"/>
  <c r="P48" i="1"/>
  <c r="O48" i="1"/>
  <c r="I48" i="1"/>
  <c r="U47" i="1"/>
  <c r="R47" i="1"/>
  <c r="P47" i="1"/>
  <c r="O47" i="1"/>
  <c r="I47" i="1"/>
  <c r="U46" i="1"/>
  <c r="R46" i="1"/>
  <c r="P46" i="1"/>
  <c r="O46" i="1"/>
  <c r="I46" i="1"/>
  <c r="U45" i="1"/>
  <c r="R45" i="1"/>
  <c r="P45" i="1"/>
  <c r="O45" i="1"/>
  <c r="I45" i="1"/>
  <c r="U44" i="1"/>
  <c r="R44" i="1"/>
  <c r="P44" i="1"/>
  <c r="O44" i="1"/>
  <c r="I44" i="1"/>
  <c r="U43" i="1"/>
  <c r="R43" i="1"/>
  <c r="P43" i="1"/>
  <c r="O43" i="1"/>
  <c r="I43" i="1"/>
  <c r="U42" i="1"/>
  <c r="R42" i="1"/>
  <c r="P42" i="1"/>
  <c r="O42" i="1"/>
  <c r="I42" i="1"/>
  <c r="U41" i="1"/>
  <c r="R41" i="1"/>
  <c r="P41" i="1"/>
  <c r="O41" i="1"/>
  <c r="I41" i="1"/>
  <c r="U40" i="1"/>
  <c r="R40" i="1"/>
  <c r="P40" i="1"/>
  <c r="O40" i="1"/>
  <c r="I40" i="1"/>
  <c r="U39" i="1"/>
  <c r="R39" i="1"/>
  <c r="P39" i="1"/>
  <c r="O39" i="1"/>
  <c r="I39" i="1"/>
  <c r="U38" i="1"/>
  <c r="R38" i="1"/>
  <c r="P38" i="1"/>
  <c r="O38" i="1"/>
  <c r="I38" i="1"/>
  <c r="U37" i="1"/>
  <c r="R37" i="1"/>
  <c r="P37" i="1"/>
  <c r="O37" i="1"/>
  <c r="I37" i="1"/>
  <c r="U36" i="1"/>
  <c r="R36" i="1"/>
  <c r="P36" i="1"/>
  <c r="O36" i="1"/>
  <c r="I36" i="1"/>
  <c r="U35" i="1"/>
  <c r="R35" i="1"/>
  <c r="P35" i="1"/>
  <c r="O35" i="1"/>
  <c r="I35" i="1"/>
  <c r="U34" i="1"/>
  <c r="R34" i="1"/>
  <c r="P34" i="1"/>
  <c r="O34" i="1"/>
  <c r="I34" i="1"/>
  <c r="U33" i="1"/>
  <c r="R33" i="1"/>
  <c r="P33" i="1"/>
  <c r="O33" i="1"/>
  <c r="I33" i="1"/>
  <c r="U32" i="1"/>
  <c r="R32" i="1"/>
  <c r="P32" i="1"/>
  <c r="O32" i="1"/>
  <c r="I32" i="1"/>
  <c r="U31" i="1"/>
  <c r="R31" i="1"/>
  <c r="P31" i="1"/>
  <c r="O31" i="1"/>
  <c r="I31" i="1"/>
  <c r="U30" i="1"/>
  <c r="R30" i="1"/>
  <c r="P30" i="1"/>
  <c r="O30" i="1"/>
  <c r="I30" i="1"/>
  <c r="U29" i="1"/>
  <c r="R29" i="1"/>
  <c r="P29" i="1"/>
  <c r="O29" i="1"/>
  <c r="I29" i="1"/>
  <c r="U28" i="1"/>
  <c r="R28" i="1"/>
  <c r="P28" i="1"/>
  <c r="O28" i="1"/>
  <c r="I28" i="1"/>
  <c r="U27" i="1"/>
  <c r="R27" i="1"/>
  <c r="P27" i="1"/>
  <c r="O27" i="1"/>
  <c r="I27" i="1"/>
  <c r="U26" i="1"/>
  <c r="R26" i="1"/>
  <c r="P26" i="1"/>
  <c r="O26" i="1"/>
  <c r="I26" i="1"/>
  <c r="U25" i="1"/>
  <c r="R25" i="1"/>
  <c r="P25" i="1"/>
  <c r="O25" i="1"/>
  <c r="I25" i="1"/>
  <c r="U24" i="1"/>
  <c r="R24" i="1"/>
  <c r="P24" i="1"/>
  <c r="O24" i="1"/>
  <c r="I24" i="1"/>
  <c r="U23" i="1"/>
  <c r="R23" i="1"/>
  <c r="P23" i="1"/>
  <c r="O23" i="1"/>
  <c r="I23" i="1"/>
  <c r="U22" i="1"/>
  <c r="R22" i="1"/>
  <c r="P22" i="1"/>
  <c r="O22" i="1"/>
  <c r="I22" i="1"/>
  <c r="U21" i="1"/>
  <c r="R21" i="1"/>
  <c r="P21" i="1"/>
  <c r="O21" i="1"/>
  <c r="I21" i="1"/>
  <c r="U20" i="1"/>
  <c r="R20" i="1"/>
  <c r="P20" i="1"/>
  <c r="O20" i="1"/>
  <c r="I20" i="1"/>
  <c r="U19" i="1"/>
  <c r="R19" i="1"/>
  <c r="P19" i="1"/>
  <c r="O19" i="1"/>
  <c r="I19" i="1"/>
  <c r="U18" i="1"/>
  <c r="R18" i="1"/>
  <c r="P18" i="1"/>
  <c r="O18" i="1"/>
  <c r="I18" i="1"/>
  <c r="U17" i="1"/>
  <c r="R17" i="1"/>
  <c r="P17" i="1"/>
  <c r="O17" i="1"/>
  <c r="I17" i="1"/>
  <c r="U16" i="1"/>
  <c r="R16" i="1"/>
  <c r="P16" i="1"/>
  <c r="O16" i="1"/>
  <c r="I16" i="1"/>
  <c r="U15" i="1"/>
  <c r="R15" i="1"/>
  <c r="P15" i="1"/>
  <c r="O15" i="1"/>
  <c r="I15" i="1"/>
  <c r="U14" i="1"/>
  <c r="R14" i="1"/>
  <c r="P14" i="1"/>
  <c r="O14" i="1"/>
  <c r="I14" i="1"/>
  <c r="U13" i="1"/>
  <c r="R13" i="1"/>
  <c r="P13" i="1"/>
  <c r="O13" i="1"/>
  <c r="I13" i="1"/>
  <c r="U12" i="1"/>
  <c r="R12" i="1"/>
  <c r="P12" i="1"/>
  <c r="O12" i="1"/>
  <c r="I12" i="1"/>
  <c r="U11" i="1"/>
  <c r="R11" i="1"/>
  <c r="P11" i="1"/>
  <c r="O11" i="1"/>
  <c r="I11" i="1"/>
  <c r="U10" i="1"/>
  <c r="R10" i="1"/>
  <c r="P10" i="1"/>
  <c r="O10" i="1"/>
  <c r="I10" i="1"/>
  <c r="U9" i="1"/>
  <c r="R9" i="1"/>
  <c r="P9" i="1"/>
  <c r="O9" i="1"/>
  <c r="I9" i="1"/>
  <c r="U8" i="1"/>
  <c r="R8" i="1"/>
  <c r="P8" i="1"/>
  <c r="O8" i="1"/>
  <c r="I8" i="1"/>
  <c r="U7" i="1"/>
  <c r="R7" i="1"/>
  <c r="P7" i="1"/>
  <c r="O7" i="1"/>
  <c r="I7" i="1"/>
  <c r="U6" i="1"/>
  <c r="R6" i="1"/>
  <c r="P6" i="1"/>
  <c r="O6" i="1"/>
  <c r="I6" i="1"/>
  <c r="U5" i="1"/>
  <c r="R5" i="1"/>
  <c r="P5" i="1"/>
  <c r="O5" i="1"/>
  <c r="I5" i="1"/>
  <c r="U4" i="1"/>
  <c r="R4" i="1"/>
  <c r="P4" i="1"/>
  <c r="O4" i="1"/>
  <c r="I4" i="1"/>
  <c r="U3" i="1"/>
  <c r="R3" i="1"/>
  <c r="P3" i="1"/>
  <c r="O3" i="1"/>
  <c r="I3" i="1"/>
  <c r="U2" i="1"/>
  <c r="R2" i="1"/>
  <c r="P2" i="1"/>
  <c r="O2" i="1"/>
  <c r="I2" i="1"/>
  <c r="O27" i="5"/>
  <c r="N11" i="5"/>
  <c r="N19" i="5"/>
  <c r="O26" i="5"/>
  <c r="O28" i="5"/>
  <c r="N7" i="5"/>
  <c r="N32" i="5"/>
  <c r="N15"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B15708E-5B9C-4476-BB36-44DDF4017EE8}"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0A70C5D-C89C-40CF-B4E6-43D6A4122D39}" name="WorksheetConnection_Omolara Mercy Cookies Sales Analysis Dashboard.xlsx!Table1" type="102" refreshedVersion="8" minRefreshableVersion="5">
    <extLst>
      <ext xmlns:x15="http://schemas.microsoft.com/office/spreadsheetml/2010/11/main" uri="{DE250136-89BD-433C-8126-D09CA5730AF9}">
        <x15:connection id="Table1" autoDelete="1">
          <x15:rangePr sourceName="_xlcn.WorksheetConnection_OmolaraMercyCookiesSalesAnalysisDashboard.xlsxTable11"/>
        </x15:connection>
      </ext>
    </extLst>
  </connection>
</connections>
</file>

<file path=xl/sharedStrings.xml><?xml version="1.0" encoding="utf-8"?>
<sst xmlns="http://schemas.openxmlformats.org/spreadsheetml/2006/main" count="902" uniqueCount="68">
  <si>
    <t>OrderID</t>
  </si>
  <si>
    <t>RestaurantID</t>
  </si>
  <si>
    <t>RestaurantName</t>
  </si>
  <si>
    <t>City</t>
  </si>
  <si>
    <t>Markup (%)</t>
  </si>
  <si>
    <t>Cost</t>
  </si>
  <si>
    <t>Total Cost</t>
  </si>
  <si>
    <t>Selling Price</t>
  </si>
  <si>
    <t>total selling price</t>
  </si>
  <si>
    <t>CookiesShipped</t>
  </si>
  <si>
    <t>New Revenue</t>
  </si>
  <si>
    <t>New Profit</t>
  </si>
  <si>
    <t>Profit Margin (%)</t>
  </si>
  <si>
    <t>OrderDate</t>
  </si>
  <si>
    <t>OrderDay</t>
  </si>
  <si>
    <t>Orderweeks</t>
  </si>
  <si>
    <t>ShipDate</t>
  </si>
  <si>
    <t>Shipday</t>
  </si>
  <si>
    <t>OrderStatus</t>
  </si>
  <si>
    <t>DateDifference</t>
  </si>
  <si>
    <t>Target</t>
  </si>
  <si>
    <t>Order Day</t>
  </si>
  <si>
    <t>Pizza Palace</t>
  </si>
  <si>
    <t>New York</t>
  </si>
  <si>
    <t>Shipped</t>
  </si>
  <si>
    <t>Saturday</t>
  </si>
  <si>
    <t>Wednesday</t>
  </si>
  <si>
    <t>Burger Town</t>
  </si>
  <si>
    <t>Los Angeles</t>
  </si>
  <si>
    <t>Thursday</t>
  </si>
  <si>
    <t>Pasta Place</t>
  </si>
  <si>
    <t>Chicago</t>
  </si>
  <si>
    <t>Tuesday</t>
  </si>
  <si>
    <t>Sushi World</t>
  </si>
  <si>
    <t>San Francisco</t>
  </si>
  <si>
    <t>Friday</t>
  </si>
  <si>
    <t>Taco Land</t>
  </si>
  <si>
    <t>Houston</t>
  </si>
  <si>
    <t>Sunday</t>
  </si>
  <si>
    <t>Monday</t>
  </si>
  <si>
    <t>Pending</t>
  </si>
  <si>
    <t>Cancelled</t>
  </si>
  <si>
    <t>Sum of New Revenue</t>
  </si>
  <si>
    <t>Sum of New Profit</t>
  </si>
  <si>
    <t>Row Labels</t>
  </si>
  <si>
    <t>Count of OrderID</t>
  </si>
  <si>
    <t>Count of OrderStatus</t>
  </si>
  <si>
    <t>Grand Total</t>
  </si>
  <si>
    <t>Sum of CookiesShipped</t>
  </si>
  <si>
    <t>Average of DateDifference</t>
  </si>
  <si>
    <t>Week 1</t>
  </si>
  <si>
    <t>Week 2</t>
  </si>
  <si>
    <t>Week 3</t>
  </si>
  <si>
    <t>Week 4</t>
  </si>
  <si>
    <t>Week 5</t>
  </si>
  <si>
    <t>Order Volume By Day</t>
  </si>
  <si>
    <t>Revenue and Profit by Restaurnt</t>
  </si>
  <si>
    <t>Cookies Shipped By Profit</t>
  </si>
  <si>
    <t>Revenue by Week</t>
  </si>
  <si>
    <t>Profit by Week</t>
  </si>
  <si>
    <t>Order Status Breakdown</t>
  </si>
  <si>
    <t>Average Shipping Time By Status</t>
  </si>
  <si>
    <t>KPIs</t>
  </si>
  <si>
    <t>Shipping Rate(%)</t>
  </si>
  <si>
    <t>Total Cookies Shipped</t>
  </si>
  <si>
    <t>Total Profit</t>
  </si>
  <si>
    <t>Total Revenue</t>
  </si>
  <si>
    <t>Distinct Count of RestaurantName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</si>
</sst>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0.0%"/>
  </numFmts>
  <fonts count="3" x14ac:knownFonts="1">
    <font>
      <sz val="11"/>
      <color theme="1"/>
      <name val="Calibri"/>
      <family val="2"/>
      <scheme val="minor"/>
    </font>
    <font>
      <sz val="11"/>
      <color theme="1"/>
      <name val="Calibri"/>
      <family val="2"/>
      <scheme val="minor"/>
    </font>
    <font>
      <sz val="8"/>
      <name val="Calibri"/>
      <family val="2"/>
      <scheme val="minor"/>
    </font>
  </fonts>
  <fills count="4">
    <fill>
      <patternFill patternType="none"/>
    </fill>
    <fill>
      <patternFill patternType="gray125"/>
    </fill>
    <fill>
      <patternFill patternType="solid">
        <fgColor theme="0"/>
        <bgColor indexed="64"/>
      </patternFill>
    </fill>
    <fill>
      <patternFill patternType="solid">
        <fgColor theme="2"/>
        <bgColor indexed="64"/>
      </patternFill>
    </fill>
  </fills>
  <borders count="2">
    <border>
      <left/>
      <right/>
      <top/>
      <bottom/>
      <diagonal/>
    </border>
    <border>
      <left/>
      <right/>
      <top/>
      <bottom style="thin">
        <color indexed="64"/>
      </bottom>
      <diagonal/>
    </border>
  </borders>
  <cellStyleXfs count="3">
    <xf numFmtId="0" fontId="0" fillId="0" borderId="0"/>
    <xf numFmtId="9" fontId="1" fillId="0" borderId="0" applyFont="0" applyFill="0" applyBorder="0" applyAlignment="0" applyProtection="0"/>
    <xf numFmtId="43" fontId="1" fillId="0" borderId="0" applyFont="0" applyFill="0" applyBorder="0" applyAlignment="0" applyProtection="0"/>
  </cellStyleXfs>
  <cellXfs count="14">
    <xf numFmtId="0" fontId="0" fillId="0" borderId="0" xfId="0"/>
    <xf numFmtId="9" fontId="0" fillId="0" borderId="0" xfId="1" applyFont="1"/>
    <xf numFmtId="14" fontId="0" fillId="0" borderId="0" xfId="0" applyNumberFormat="1"/>
    <xf numFmtId="0" fontId="0" fillId="0" borderId="0" xfId="0" applyAlignment="1">
      <alignment horizontal="left"/>
    </xf>
    <xf numFmtId="10" fontId="0" fillId="0" borderId="0" xfId="0" applyNumberFormat="1"/>
    <xf numFmtId="2" fontId="0" fillId="0" borderId="0" xfId="0" applyNumberFormat="1"/>
    <xf numFmtId="0" fontId="0" fillId="0" borderId="0" xfId="0" pivotButton="1"/>
    <xf numFmtId="0" fontId="0" fillId="2" borderId="0" xfId="0" applyFill="1"/>
    <xf numFmtId="43" fontId="0" fillId="0" borderId="0" xfId="2" applyFont="1"/>
    <xf numFmtId="0" fontId="0" fillId="3" borderId="0" xfId="0" applyFill="1"/>
    <xf numFmtId="43" fontId="0" fillId="0" borderId="0" xfId="0" applyNumberFormat="1"/>
    <xf numFmtId="164" fontId="0" fillId="0" borderId="0" xfId="0" applyNumberFormat="1"/>
    <xf numFmtId="0" fontId="0" fillId="3" borderId="1" xfId="0" applyFill="1" applyBorder="1"/>
    <xf numFmtId="0" fontId="0" fillId="0" borderId="0" xfId="0" applyNumberFormat="1"/>
  </cellXfs>
  <cellStyles count="3">
    <cellStyle name="Comma" xfId="2" builtinId="3"/>
    <cellStyle name="Normal" xfId="0" builtinId="0"/>
    <cellStyle name="Percent" xfId="1" builtinId="5"/>
  </cellStyles>
  <dxfs count="64">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0" formatCode="General"/>
    </dxf>
    <dxf>
      <numFmt numFmtId="165" formatCode="dd/mm/yyyy"/>
    </dxf>
    <dxf>
      <numFmt numFmtId="165" formatCode="dd/mm/yyyy"/>
    </dxf>
    <dxf>
      <numFmt numFmtId="165" formatCode="dd/mm/yyyy"/>
    </dxf>
    <dxf>
      <numFmt numFmtId="165" formatCode="dd/mm/yyyy"/>
    </dxf>
    <dxf>
      <numFmt numFmtId="165" formatCode="dd/mm/yyyy"/>
    </dxf>
    <dxf>
      <numFmt numFmtId="0" formatCode="General"/>
    </dxf>
  </dxfs>
  <tableStyles count="0" defaultTableStyle="TableStyleMedium2" defaultPivotStyle="PivotStyleLight16"/>
  <colors>
    <mruColors>
      <color rgb="FF8D1F17"/>
      <color rgb="FFD27D56"/>
      <color rgb="FFE38B75"/>
      <color rgb="FFDA8A67"/>
      <color rgb="FFD4AF7F"/>
      <color rgb="FF4B1D2A"/>
      <color rgb="FFFAB183"/>
      <color rgb="FF6FB7B7"/>
      <color rgb="FFB8B8B8"/>
      <color rgb="FFE7BCB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openxmlformats.org/officeDocument/2006/relationships/pivotCacheDefinition" Target="pivotCache/pivotCacheDefinition10.xml"/><Relationship Id="rId18" Type="http://schemas.openxmlformats.org/officeDocument/2006/relationships/pivotCacheDefinition" Target="pivotCache/pivotCacheDefinition15.xml"/><Relationship Id="rId26" Type="http://schemas.openxmlformats.org/officeDocument/2006/relationships/powerPivotData" Target="model/item.data"/><Relationship Id="rId3" Type="http://schemas.openxmlformats.org/officeDocument/2006/relationships/worksheet" Target="worksheets/sheet3.xml"/><Relationship Id="rId21" Type="http://schemas.microsoft.com/office/2007/relationships/slicerCache" Target="slicerCaches/slicerCache3.xml"/><Relationship Id="rId7" Type="http://schemas.openxmlformats.org/officeDocument/2006/relationships/pivotCacheDefinition" Target="pivotCache/pivotCacheDefinition4.xml"/><Relationship Id="rId12" Type="http://schemas.openxmlformats.org/officeDocument/2006/relationships/pivotCacheDefinition" Target="pivotCache/pivotCacheDefinition9.xml"/><Relationship Id="rId17" Type="http://schemas.openxmlformats.org/officeDocument/2006/relationships/pivotCacheDefinition" Target="pivotCache/pivotCacheDefinition14.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pivotCacheDefinition" Target="pivotCache/pivotCacheDefinition13.xml"/><Relationship Id="rId20" Type="http://schemas.microsoft.com/office/2007/relationships/slicerCache" Target="slicerCaches/slicerCache2.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24" Type="http://schemas.openxmlformats.org/officeDocument/2006/relationships/styles" Target="styles.xml"/><Relationship Id="rId5" Type="http://schemas.openxmlformats.org/officeDocument/2006/relationships/pivotCacheDefinition" Target="pivotCache/pivotCacheDefinition2.xml"/><Relationship Id="rId15" Type="http://schemas.openxmlformats.org/officeDocument/2006/relationships/pivotCacheDefinition" Target="pivotCache/pivotCacheDefinition12.xml"/><Relationship Id="rId23" Type="http://schemas.openxmlformats.org/officeDocument/2006/relationships/connections" Target="connections.xml"/><Relationship Id="rId10" Type="http://schemas.openxmlformats.org/officeDocument/2006/relationships/pivotCacheDefinition" Target="pivotCache/pivotCacheDefinition7.xml"/><Relationship Id="rId19"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pivotCacheDefinition" Target="pivotCache/pivotCacheDefinition11.xml"/><Relationship Id="rId22" Type="http://schemas.openxmlformats.org/officeDocument/2006/relationships/theme" Target="theme/theme1.xml"/><Relationship Id="rId27"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[Citybites Performance Dashboard.xlsx]Pivot_Analysis!PivotTable1</c:name>
    <c:fmtId val="3"/>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D4AF7F"/>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Pivot_Analysis!$B$4</c:f>
              <c:strCache>
                <c:ptCount val="1"/>
                <c:pt idx="0">
                  <c:v>Total</c:v>
                </c:pt>
              </c:strCache>
            </c:strRef>
          </c:tx>
          <c:spPr>
            <a:solidFill>
              <a:srgbClr val="D4AF7F"/>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Pivot_Analysis!$A$5:$A$12</c:f>
              <c:strCache>
                <c:ptCount val="7"/>
                <c:pt idx="0">
                  <c:v>Friday</c:v>
                </c:pt>
                <c:pt idx="1">
                  <c:v>Monday</c:v>
                </c:pt>
                <c:pt idx="2">
                  <c:v>Saturday</c:v>
                </c:pt>
                <c:pt idx="3">
                  <c:v>Sunday</c:v>
                </c:pt>
                <c:pt idx="4">
                  <c:v>Thursday</c:v>
                </c:pt>
                <c:pt idx="5">
                  <c:v>Tuesday</c:v>
                </c:pt>
                <c:pt idx="6">
                  <c:v>Wednesday</c:v>
                </c:pt>
              </c:strCache>
            </c:strRef>
          </c:cat>
          <c:val>
            <c:numRef>
              <c:f>Pivot_Analysis!$B$5:$B$12</c:f>
              <c:numCache>
                <c:formatCode>General</c:formatCode>
                <c:ptCount val="7"/>
                <c:pt idx="0">
                  <c:v>27</c:v>
                </c:pt>
                <c:pt idx="1">
                  <c:v>26</c:v>
                </c:pt>
                <c:pt idx="2">
                  <c:v>29</c:v>
                </c:pt>
                <c:pt idx="3">
                  <c:v>21</c:v>
                </c:pt>
                <c:pt idx="4">
                  <c:v>30</c:v>
                </c:pt>
                <c:pt idx="5">
                  <c:v>30</c:v>
                </c:pt>
                <c:pt idx="6">
                  <c:v>37</c:v>
                </c:pt>
              </c:numCache>
            </c:numRef>
          </c:val>
          <c:extLst>
            <c:ext xmlns:c16="http://schemas.microsoft.com/office/drawing/2014/chart" uri="{C3380CC4-5D6E-409C-BE32-E72D297353CC}">
              <c16:uniqueId val="{00000000-7C19-4A8D-ACFA-98EE10BD660C}"/>
            </c:ext>
          </c:extLst>
        </c:ser>
        <c:dLbls>
          <c:showLegendKey val="0"/>
          <c:showVal val="1"/>
          <c:showCatName val="0"/>
          <c:showSerName val="0"/>
          <c:showPercent val="0"/>
          <c:showBubbleSize val="0"/>
        </c:dLbls>
        <c:gapWidth val="150"/>
        <c:shape val="box"/>
        <c:axId val="536972511"/>
        <c:axId val="536963871"/>
        <c:axId val="0"/>
      </c:bar3DChart>
      <c:catAx>
        <c:axId val="53697251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536963871"/>
        <c:crosses val="autoZero"/>
        <c:auto val="1"/>
        <c:lblAlgn val="ctr"/>
        <c:lblOffset val="100"/>
        <c:noMultiLvlLbl val="0"/>
      </c:catAx>
      <c:valAx>
        <c:axId val="536963871"/>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crossAx val="5369725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[Citybites Performance Dashboard.xlsx]Pivot_Analysis!PivotTable2</c:name>
    <c:fmtId val="7"/>
  </c:pivotSource>
  <c:chart>
    <c:autoTitleDeleted val="0"/>
    <c:pivotFmts>
      <c:pivotFmt>
        <c:idx val="0"/>
        <c:spPr>
          <a:solidFill>
            <a:srgbClr val="FAB18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DA8A67"/>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DA8A67"/>
          </a:solidFill>
          <a:ln>
            <a:noFill/>
          </a:ln>
          <a:effectLst/>
          <a:sp3d/>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7816506410256411"/>
                  <c:h val="6.7103759207518404E-2"/>
                </c:manualLayout>
              </c15:layout>
            </c:ext>
          </c:extLst>
        </c:dLbl>
      </c:pivotFmt>
      <c:pivotFmt>
        <c:idx val="3"/>
        <c:spPr>
          <a:solidFill>
            <a:srgbClr val="FAB183"/>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223933649289099"/>
                  <c:h val="0.16780913978494624"/>
                </c:manualLayout>
              </c15:layout>
            </c:ext>
          </c:extLst>
        </c:dLbl>
      </c:pivotFmt>
      <c:pivotFmt>
        <c:idx val="4"/>
        <c:spPr>
          <a:solidFill>
            <a:srgbClr val="FAB18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AB183"/>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223933649289099"/>
                  <c:h val="0.16780913978494624"/>
                </c:manualLayout>
              </c15:layout>
            </c:ext>
          </c:extLst>
        </c:dLbl>
      </c:pivotFmt>
      <c:pivotFmt>
        <c:idx val="6"/>
        <c:spPr>
          <a:solidFill>
            <a:srgbClr val="DA8A67"/>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DA8A67"/>
          </a:solidFill>
          <a:ln>
            <a:noFill/>
          </a:ln>
          <a:effectLst/>
          <a:sp3d/>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7816506410256411"/>
                  <c:h val="6.7103759207518404E-2"/>
                </c:manualLayout>
              </c15:layout>
            </c:ext>
          </c:extLst>
        </c:dLbl>
      </c:pivotFmt>
      <c:pivotFmt>
        <c:idx val="8"/>
        <c:spPr>
          <a:solidFill>
            <a:srgbClr val="FAB18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AB183"/>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223933649289099"/>
                  <c:h val="0.16780913978494624"/>
                </c:manualLayout>
              </c15:layout>
            </c:ext>
          </c:extLst>
        </c:dLbl>
      </c:pivotFmt>
      <c:pivotFmt>
        <c:idx val="10"/>
        <c:spPr>
          <a:solidFill>
            <a:srgbClr val="DA8A67"/>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DA8A67"/>
          </a:solidFill>
          <a:ln>
            <a:noFill/>
          </a:ln>
          <a:effectLst/>
          <a:sp3d/>
        </c:spPr>
        <c:dLbl>
          <c:idx val="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7816506410256411"/>
                  <c:h val="6.7103759207518404E-2"/>
                </c:manualLayout>
              </c15:layout>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7590368649961922"/>
          <c:y val="0.13962318213674679"/>
          <c:w val="0.61934011845641601"/>
          <c:h val="0.68438834996567699"/>
        </c:manualLayout>
      </c:layout>
      <c:bar3DChart>
        <c:barDir val="bar"/>
        <c:grouping val="clustered"/>
        <c:varyColors val="0"/>
        <c:ser>
          <c:idx val="0"/>
          <c:order val="0"/>
          <c:tx>
            <c:strRef>
              <c:f>Pivot_Analysis!$F$4</c:f>
              <c:strCache>
                <c:ptCount val="1"/>
                <c:pt idx="0">
                  <c:v>Sum of New Revenue</c:v>
                </c:pt>
              </c:strCache>
            </c:strRef>
          </c:tx>
          <c:spPr>
            <a:solidFill>
              <a:srgbClr val="FAB183"/>
            </a:solidFill>
            <a:ln>
              <a:noFill/>
            </a:ln>
            <a:effectLst/>
            <a:sp3d/>
          </c:spPr>
          <c:invertIfNegative val="0"/>
          <c:dPt>
            <c:idx val="3"/>
            <c:invertIfNegative val="0"/>
            <c:bubble3D val="0"/>
            <c:extLst>
              <c:ext xmlns:c16="http://schemas.microsoft.com/office/drawing/2014/chart" uri="{C3380CC4-5D6E-409C-BE32-E72D297353CC}">
                <c16:uniqueId val="{00000000-4FB1-4CEA-A456-F2F456E1FDD5}"/>
              </c:ext>
            </c:extLst>
          </c:dPt>
          <c:dLbls>
            <c:dLbl>
              <c:idx val="3"/>
              <c:showLegendKey val="0"/>
              <c:showVal val="1"/>
              <c:showCatName val="0"/>
              <c:showSerName val="0"/>
              <c:showPercent val="0"/>
              <c:showBubbleSize val="0"/>
              <c:extLst>
                <c:ext xmlns:c15="http://schemas.microsoft.com/office/drawing/2012/chart" uri="{CE6537A1-D6FC-4f65-9D91-7224C49458BB}">
                  <c15:layout>
                    <c:manualLayout>
                      <c:w val="0.2223933649289099"/>
                      <c:h val="0.16780913978494624"/>
                    </c:manualLayout>
                  </c15:layout>
                </c:ext>
                <c:ext xmlns:c16="http://schemas.microsoft.com/office/drawing/2014/chart" uri="{C3380CC4-5D6E-409C-BE32-E72D297353CC}">
                  <c16:uniqueId val="{00000000-4FB1-4CEA-A456-F2F456E1FDD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Pivot_Analysis!$E$5:$E$10</c:f>
              <c:strCache>
                <c:ptCount val="5"/>
                <c:pt idx="0">
                  <c:v>Burger Town</c:v>
                </c:pt>
                <c:pt idx="1">
                  <c:v>Pasta Place</c:v>
                </c:pt>
                <c:pt idx="2">
                  <c:v>Pizza Palace</c:v>
                </c:pt>
                <c:pt idx="3">
                  <c:v>Sushi World</c:v>
                </c:pt>
                <c:pt idx="4">
                  <c:v>Taco Land</c:v>
                </c:pt>
              </c:strCache>
            </c:strRef>
          </c:cat>
          <c:val>
            <c:numRef>
              <c:f>Pivot_Analysis!$F$5:$F$10</c:f>
              <c:numCache>
                <c:formatCode>General</c:formatCode>
                <c:ptCount val="5"/>
                <c:pt idx="0">
                  <c:v>62146.98000000001</c:v>
                </c:pt>
                <c:pt idx="1">
                  <c:v>56180.479500000001</c:v>
                </c:pt>
                <c:pt idx="2">
                  <c:v>79491.375</c:v>
                </c:pt>
                <c:pt idx="3">
                  <c:v>117744.34050000001</c:v>
                </c:pt>
                <c:pt idx="4">
                  <c:v>67569.282000000007</c:v>
                </c:pt>
              </c:numCache>
            </c:numRef>
          </c:val>
          <c:extLst>
            <c:ext xmlns:c16="http://schemas.microsoft.com/office/drawing/2014/chart" uri="{C3380CC4-5D6E-409C-BE32-E72D297353CC}">
              <c16:uniqueId val="{00000001-4FB1-4CEA-A456-F2F456E1FDD5}"/>
            </c:ext>
          </c:extLst>
        </c:ser>
        <c:ser>
          <c:idx val="1"/>
          <c:order val="1"/>
          <c:tx>
            <c:strRef>
              <c:f>Pivot_Analysis!$G$4</c:f>
              <c:strCache>
                <c:ptCount val="1"/>
                <c:pt idx="0">
                  <c:v>Sum of New Profit</c:v>
                </c:pt>
              </c:strCache>
            </c:strRef>
          </c:tx>
          <c:spPr>
            <a:solidFill>
              <a:srgbClr val="DA8A67"/>
            </a:solidFill>
            <a:ln>
              <a:noFill/>
            </a:ln>
            <a:effectLst/>
            <a:sp3d/>
          </c:spPr>
          <c:invertIfNegative val="0"/>
          <c:dPt>
            <c:idx val="0"/>
            <c:invertIfNegative val="0"/>
            <c:bubble3D val="0"/>
            <c:extLst>
              <c:ext xmlns:c16="http://schemas.microsoft.com/office/drawing/2014/chart" uri="{C3380CC4-5D6E-409C-BE32-E72D297353CC}">
                <c16:uniqueId val="{00000002-4FB1-4CEA-A456-F2F456E1FDD5}"/>
              </c:ext>
            </c:extLst>
          </c:dPt>
          <c:dLbls>
            <c:dLbl>
              <c:idx val="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7816506410256411"/>
                      <c:h val="6.7103759207518404E-2"/>
                    </c:manualLayout>
                  </c15:layout>
                </c:ext>
                <c:ext xmlns:c16="http://schemas.microsoft.com/office/drawing/2014/chart" uri="{C3380CC4-5D6E-409C-BE32-E72D297353CC}">
                  <c16:uniqueId val="{00000002-4FB1-4CEA-A456-F2F456E1FDD5}"/>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Pivot_Analysis!$E$5:$E$10</c:f>
              <c:strCache>
                <c:ptCount val="5"/>
                <c:pt idx="0">
                  <c:v>Burger Town</c:v>
                </c:pt>
                <c:pt idx="1">
                  <c:v>Pasta Place</c:v>
                </c:pt>
                <c:pt idx="2">
                  <c:v>Pizza Palace</c:v>
                </c:pt>
                <c:pt idx="3">
                  <c:v>Sushi World</c:v>
                </c:pt>
                <c:pt idx="4">
                  <c:v>Taco Land</c:v>
                </c:pt>
              </c:strCache>
            </c:strRef>
          </c:cat>
          <c:val>
            <c:numRef>
              <c:f>Pivot_Analysis!$G$5:$G$10</c:f>
              <c:numCache>
                <c:formatCode>_(* #,##0.00_);_(* \(#,##0.00\);_(* "-"??_);_(@_)</c:formatCode>
                <c:ptCount val="5"/>
                <c:pt idx="0">
                  <c:v>16112.180000000004</c:v>
                </c:pt>
                <c:pt idx="1">
                  <c:v>14565.309500000001</c:v>
                </c:pt>
                <c:pt idx="2">
                  <c:v>20608.875000000004</c:v>
                </c:pt>
                <c:pt idx="3">
                  <c:v>30526.310500000003</c:v>
                </c:pt>
                <c:pt idx="4">
                  <c:v>17517.962000000007</c:v>
                </c:pt>
              </c:numCache>
            </c:numRef>
          </c:val>
          <c:extLst>
            <c:ext xmlns:c16="http://schemas.microsoft.com/office/drawing/2014/chart" uri="{C3380CC4-5D6E-409C-BE32-E72D297353CC}">
              <c16:uniqueId val="{00000003-4FB1-4CEA-A456-F2F456E1FDD5}"/>
            </c:ext>
          </c:extLst>
        </c:ser>
        <c:dLbls>
          <c:showLegendKey val="0"/>
          <c:showVal val="1"/>
          <c:showCatName val="0"/>
          <c:showSerName val="0"/>
          <c:showPercent val="0"/>
          <c:showBubbleSize val="0"/>
        </c:dLbls>
        <c:gapWidth val="150"/>
        <c:shape val="box"/>
        <c:axId val="536941311"/>
        <c:axId val="536925951"/>
        <c:axId val="0"/>
      </c:bar3DChart>
      <c:catAx>
        <c:axId val="53694131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536925951"/>
        <c:crosses val="autoZero"/>
        <c:auto val="1"/>
        <c:lblAlgn val="ctr"/>
        <c:lblOffset val="100"/>
        <c:noMultiLvlLbl val="0"/>
      </c:catAx>
      <c:valAx>
        <c:axId val="53692595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536941311"/>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[Citybites Performance Dashboard.xlsx]Pivot_Analysis!PivotTable3</c:name>
    <c:fmtId val="10"/>
  </c:pivotSource>
  <c:chart>
    <c:autoTitleDeleted val="0"/>
    <c:pivotFmts>
      <c:pivotFmt>
        <c:idx val="0"/>
        <c:spPr>
          <a:solidFill>
            <a:srgbClr val="D4AF7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D27D5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4AF7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D27D5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D4AF7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rgbClr val="D27D5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rgbClr val="D27D56"/>
            </a:solidFill>
            <a:round/>
          </a:ln>
          <a:effectLst/>
        </c:spPr>
        <c:marker>
          <c:symbol val="none"/>
        </c:marker>
        <c:dLbl>
          <c:idx val="0"/>
          <c:layout>
            <c:manualLayout>
              <c:x val="-2.2355776635866388E-2"/>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rgbClr val="D27D56"/>
            </a:solidFill>
            <a:round/>
          </a:ln>
          <a:effectLst/>
        </c:spPr>
        <c:marker>
          <c:symbol val="none"/>
        </c:marker>
        <c:dLbl>
          <c:idx val="0"/>
          <c:layout>
            <c:manualLayout>
              <c:x val="-3.2217085089465129E-2"/>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rgbClr val="D27D56"/>
            </a:solidFill>
            <a:round/>
          </a:ln>
          <a:effectLst/>
        </c:spPr>
        <c:marker>
          <c:symbol val="none"/>
        </c:marker>
        <c:dLbl>
          <c:idx val="0"/>
          <c:layout>
            <c:manualLayout>
              <c:x val="2.1478056726310084E-2"/>
              <c:y val="4.271242987762496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D4AF7F"/>
          </a:solidFill>
          <a:ln>
            <a:noFill/>
          </a:ln>
          <a:effectLst/>
        </c:spPr>
        <c:dLbl>
          <c:idx val="0"/>
          <c:layout>
            <c:manualLayout>
              <c:x val="3.7439613882608827E-3"/>
              <c:y val="-1.423747662587498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11698015140057"/>
          <c:y val="0.25047589045887275"/>
          <c:w val="0.74519273455404988"/>
          <c:h val="0.48430346228526072"/>
        </c:manualLayout>
      </c:layout>
      <c:barChart>
        <c:barDir val="col"/>
        <c:grouping val="clustered"/>
        <c:varyColors val="0"/>
        <c:ser>
          <c:idx val="0"/>
          <c:order val="0"/>
          <c:tx>
            <c:strRef>
              <c:f>Pivot_Analysis!$K$4</c:f>
              <c:strCache>
                <c:ptCount val="1"/>
                <c:pt idx="0">
                  <c:v>Sum of CookiesShipped</c:v>
                </c:pt>
              </c:strCache>
            </c:strRef>
          </c:tx>
          <c:spPr>
            <a:solidFill>
              <a:srgbClr val="D4AF7F"/>
            </a:solidFill>
            <a:ln>
              <a:noFill/>
            </a:ln>
            <a:effectLst/>
          </c:spPr>
          <c:invertIfNegative val="0"/>
          <c:dPt>
            <c:idx val="4"/>
            <c:invertIfNegative val="0"/>
            <c:bubble3D val="0"/>
            <c:extLst>
              <c:ext xmlns:c16="http://schemas.microsoft.com/office/drawing/2014/chart" uri="{C3380CC4-5D6E-409C-BE32-E72D297353CC}">
                <c16:uniqueId val="{00000005-3C28-4BD5-9DBB-3EDC936E70C2}"/>
              </c:ext>
            </c:extLst>
          </c:dPt>
          <c:dLbls>
            <c:dLbl>
              <c:idx val="4"/>
              <c:layout>
                <c:manualLayout>
                  <c:x val="3.7439613882608827E-3"/>
                  <c:y val="-1.423747662587498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C28-4BD5-9DBB-3EDC936E70C2}"/>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Pivot_Analysis!$J$5:$J$10</c:f>
              <c:strCache>
                <c:ptCount val="5"/>
                <c:pt idx="0">
                  <c:v>Burger Town</c:v>
                </c:pt>
                <c:pt idx="1">
                  <c:v>Pasta Place</c:v>
                </c:pt>
                <c:pt idx="2">
                  <c:v>Pizza Palace</c:v>
                </c:pt>
                <c:pt idx="3">
                  <c:v>Sushi World</c:v>
                </c:pt>
                <c:pt idx="4">
                  <c:v>Taco Land</c:v>
                </c:pt>
              </c:strCache>
            </c:strRef>
          </c:cat>
          <c:val>
            <c:numRef>
              <c:f>Pivot_Analysis!$K$5:$K$10</c:f>
              <c:numCache>
                <c:formatCode>General</c:formatCode>
                <c:ptCount val="5"/>
                <c:pt idx="0">
                  <c:v>1870</c:v>
                </c:pt>
                <c:pt idx="1">
                  <c:v>1392</c:v>
                </c:pt>
                <c:pt idx="2">
                  <c:v>2271</c:v>
                </c:pt>
                <c:pt idx="3">
                  <c:v>2658</c:v>
                </c:pt>
                <c:pt idx="4">
                  <c:v>2062</c:v>
                </c:pt>
              </c:numCache>
            </c:numRef>
          </c:val>
          <c:extLst>
            <c:ext xmlns:c16="http://schemas.microsoft.com/office/drawing/2014/chart" uri="{C3380CC4-5D6E-409C-BE32-E72D297353CC}">
              <c16:uniqueId val="{00000000-3C28-4BD5-9DBB-3EDC936E70C2}"/>
            </c:ext>
          </c:extLst>
        </c:ser>
        <c:dLbls>
          <c:showLegendKey val="0"/>
          <c:showVal val="1"/>
          <c:showCatName val="0"/>
          <c:showSerName val="0"/>
          <c:showPercent val="0"/>
          <c:showBubbleSize val="0"/>
        </c:dLbls>
        <c:gapWidth val="150"/>
        <c:axId val="631817631"/>
        <c:axId val="631818111"/>
      </c:barChart>
      <c:lineChart>
        <c:grouping val="standard"/>
        <c:varyColors val="0"/>
        <c:ser>
          <c:idx val="1"/>
          <c:order val="1"/>
          <c:tx>
            <c:strRef>
              <c:f>Pivot_Analysis!$L$4</c:f>
              <c:strCache>
                <c:ptCount val="1"/>
                <c:pt idx="0">
                  <c:v>Sum of New Profit</c:v>
                </c:pt>
              </c:strCache>
            </c:strRef>
          </c:tx>
          <c:spPr>
            <a:ln w="28575" cap="rnd">
              <a:solidFill>
                <a:srgbClr val="D27D56"/>
              </a:solidFill>
              <a:round/>
            </a:ln>
            <a:effectLst/>
          </c:spPr>
          <c:marker>
            <c:symbol val="none"/>
          </c:marker>
          <c:dPt>
            <c:idx val="0"/>
            <c:marker>
              <c:symbol val="none"/>
            </c:marker>
            <c:bubble3D val="0"/>
            <c:extLst>
              <c:ext xmlns:c16="http://schemas.microsoft.com/office/drawing/2014/chart" uri="{C3380CC4-5D6E-409C-BE32-E72D297353CC}">
                <c16:uniqueId val="{00000002-3C28-4BD5-9DBB-3EDC936E70C2}"/>
              </c:ext>
            </c:extLst>
          </c:dPt>
          <c:dPt>
            <c:idx val="3"/>
            <c:marker>
              <c:symbol val="none"/>
            </c:marker>
            <c:bubble3D val="0"/>
            <c:extLst>
              <c:ext xmlns:c16="http://schemas.microsoft.com/office/drawing/2014/chart" uri="{C3380CC4-5D6E-409C-BE32-E72D297353CC}">
                <c16:uniqueId val="{00000004-3C28-4BD5-9DBB-3EDC936E70C2}"/>
              </c:ext>
            </c:extLst>
          </c:dPt>
          <c:dPt>
            <c:idx val="4"/>
            <c:marker>
              <c:symbol val="none"/>
            </c:marker>
            <c:bubble3D val="0"/>
            <c:extLst>
              <c:ext xmlns:c16="http://schemas.microsoft.com/office/drawing/2014/chart" uri="{C3380CC4-5D6E-409C-BE32-E72D297353CC}">
                <c16:uniqueId val="{00000003-3C28-4BD5-9DBB-3EDC936E70C2}"/>
              </c:ext>
            </c:extLst>
          </c:dPt>
          <c:dLbls>
            <c:dLbl>
              <c:idx val="0"/>
              <c:layout>
                <c:manualLayout>
                  <c:x val="-2.2355776635866388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C28-4BD5-9DBB-3EDC936E70C2}"/>
                </c:ext>
              </c:extLst>
            </c:dLbl>
            <c:dLbl>
              <c:idx val="3"/>
              <c:layout>
                <c:manualLayout>
                  <c:x val="2.1478056726310084E-2"/>
                  <c:y val="4.271242987762496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C28-4BD5-9DBB-3EDC936E70C2}"/>
                </c:ext>
              </c:extLst>
            </c:dLbl>
            <c:dLbl>
              <c:idx val="4"/>
              <c:layout>
                <c:manualLayout>
                  <c:x val="-3.2217085089465129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C28-4BD5-9DBB-3EDC936E70C2}"/>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Pivot_Analysis!$J$5:$J$10</c:f>
              <c:strCache>
                <c:ptCount val="5"/>
                <c:pt idx="0">
                  <c:v>Burger Town</c:v>
                </c:pt>
                <c:pt idx="1">
                  <c:v>Pasta Place</c:v>
                </c:pt>
                <c:pt idx="2">
                  <c:v>Pizza Palace</c:v>
                </c:pt>
                <c:pt idx="3">
                  <c:v>Sushi World</c:v>
                </c:pt>
                <c:pt idx="4">
                  <c:v>Taco Land</c:v>
                </c:pt>
              </c:strCache>
            </c:strRef>
          </c:cat>
          <c:val>
            <c:numRef>
              <c:f>Pivot_Analysis!$L$5:$L$10</c:f>
              <c:numCache>
                <c:formatCode>General</c:formatCode>
                <c:ptCount val="5"/>
                <c:pt idx="0">
                  <c:v>16112.180000000004</c:v>
                </c:pt>
                <c:pt idx="1">
                  <c:v>14565.309500000001</c:v>
                </c:pt>
                <c:pt idx="2">
                  <c:v>20608.875000000004</c:v>
                </c:pt>
                <c:pt idx="3">
                  <c:v>30526.310500000003</c:v>
                </c:pt>
                <c:pt idx="4">
                  <c:v>17517.962000000007</c:v>
                </c:pt>
              </c:numCache>
            </c:numRef>
          </c:val>
          <c:smooth val="0"/>
          <c:extLst>
            <c:ext xmlns:c16="http://schemas.microsoft.com/office/drawing/2014/chart" uri="{C3380CC4-5D6E-409C-BE32-E72D297353CC}">
              <c16:uniqueId val="{00000001-3C28-4BD5-9DBB-3EDC936E70C2}"/>
            </c:ext>
          </c:extLst>
        </c:ser>
        <c:dLbls>
          <c:showLegendKey val="0"/>
          <c:showVal val="1"/>
          <c:showCatName val="0"/>
          <c:showSerName val="0"/>
          <c:showPercent val="0"/>
          <c:showBubbleSize val="0"/>
        </c:dLbls>
        <c:marker val="1"/>
        <c:smooth val="0"/>
        <c:axId val="631819071"/>
        <c:axId val="631818591"/>
      </c:lineChart>
      <c:catAx>
        <c:axId val="6318176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631818111"/>
        <c:crosses val="autoZero"/>
        <c:auto val="1"/>
        <c:lblAlgn val="ctr"/>
        <c:lblOffset val="100"/>
        <c:noMultiLvlLbl val="0"/>
      </c:catAx>
      <c:valAx>
        <c:axId val="6318181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631817631"/>
        <c:crosses val="autoZero"/>
        <c:crossBetween val="between"/>
      </c:valAx>
      <c:valAx>
        <c:axId val="631818591"/>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631819071"/>
        <c:crosses val="max"/>
        <c:crossBetween val="between"/>
      </c:valAx>
      <c:catAx>
        <c:axId val="631819071"/>
        <c:scaling>
          <c:orientation val="minMax"/>
        </c:scaling>
        <c:delete val="1"/>
        <c:axPos val="b"/>
        <c:numFmt formatCode="General" sourceLinked="1"/>
        <c:majorTickMark val="none"/>
        <c:minorTickMark val="none"/>
        <c:tickLblPos val="nextTo"/>
        <c:crossAx val="631818591"/>
        <c:crosses val="autoZero"/>
        <c:auto val="1"/>
        <c:lblAlgn val="ctr"/>
        <c:lblOffset val="100"/>
        <c:noMultiLvlLbl val="0"/>
      </c:catAx>
      <c:spPr>
        <a:noFill/>
        <a:ln>
          <a:noFill/>
        </a:ln>
        <a:effectLst/>
      </c:spPr>
    </c:plotArea>
    <c:legend>
      <c:legendPos val="t"/>
      <c:layout>
        <c:manualLayout>
          <c:xMode val="edge"/>
          <c:yMode val="edge"/>
          <c:x val="4.9999871529200768E-2"/>
          <c:y val="4.1753653444676408E-2"/>
          <c:w val="0.89999993576460036"/>
          <c:h val="0.12567039456868292"/>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[Citybites Performance Dashboard.xlsx]Pivot_Analysis!PivotTable4</c:name>
    <c:fmtId val="3"/>
  </c:pivotSource>
  <c:chart>
    <c:autoTitleDeleted val="1"/>
    <c:pivotFmts>
      <c:pivotFmt>
        <c:idx val="0"/>
        <c:spPr>
          <a:solidFill>
            <a:schemeClr val="accent1"/>
          </a:solidFill>
          <a:ln w="28575" cap="rnd">
            <a:solidFill>
              <a:srgbClr val="D27D56"/>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D27D56"/>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rgbClr val="D27D56"/>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217956877792124"/>
          <c:y val="4.1343434439166188E-2"/>
          <c:w val="0.72623459596418805"/>
          <c:h val="0.77379541208713054"/>
        </c:manualLayout>
      </c:layout>
      <c:lineChart>
        <c:grouping val="standard"/>
        <c:varyColors val="0"/>
        <c:ser>
          <c:idx val="0"/>
          <c:order val="0"/>
          <c:tx>
            <c:strRef>
              <c:f>Pivot_Analysis!$B$16</c:f>
              <c:strCache>
                <c:ptCount val="1"/>
                <c:pt idx="0">
                  <c:v>Total</c:v>
                </c:pt>
              </c:strCache>
            </c:strRef>
          </c:tx>
          <c:spPr>
            <a:ln w="28575" cap="rnd">
              <a:solidFill>
                <a:srgbClr val="D27D56"/>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Pivot_Analysis!$A$17:$A$22</c:f>
              <c:strCache>
                <c:ptCount val="5"/>
                <c:pt idx="0">
                  <c:v>Week 1</c:v>
                </c:pt>
                <c:pt idx="1">
                  <c:v>Week 2</c:v>
                </c:pt>
                <c:pt idx="2">
                  <c:v>Week 3</c:v>
                </c:pt>
                <c:pt idx="3">
                  <c:v>Week 4</c:v>
                </c:pt>
                <c:pt idx="4">
                  <c:v>Week 5</c:v>
                </c:pt>
              </c:strCache>
            </c:strRef>
          </c:cat>
          <c:val>
            <c:numRef>
              <c:f>Pivot_Analysis!$B$17:$B$22</c:f>
              <c:numCache>
                <c:formatCode>_(* #,##0.00_);_(* \(#,##0.00\);_(* "-"??_);_(@_)</c:formatCode>
                <c:ptCount val="5"/>
                <c:pt idx="0">
                  <c:v>112123.35899999998</c:v>
                </c:pt>
                <c:pt idx="1">
                  <c:v>145499.86799999996</c:v>
                </c:pt>
                <c:pt idx="2">
                  <c:v>82954.894500000024</c:v>
                </c:pt>
                <c:pt idx="3">
                  <c:v>37477.336499999998</c:v>
                </c:pt>
                <c:pt idx="4">
                  <c:v>5076.9989999999998</c:v>
                </c:pt>
              </c:numCache>
            </c:numRef>
          </c:val>
          <c:smooth val="0"/>
          <c:extLst>
            <c:ext xmlns:c16="http://schemas.microsoft.com/office/drawing/2014/chart" uri="{C3380CC4-5D6E-409C-BE32-E72D297353CC}">
              <c16:uniqueId val="{00000000-8AA8-4EAD-BA56-408EC4AE32CB}"/>
            </c:ext>
          </c:extLst>
        </c:ser>
        <c:dLbls>
          <c:dLblPos val="t"/>
          <c:showLegendKey val="0"/>
          <c:showVal val="1"/>
          <c:showCatName val="0"/>
          <c:showSerName val="0"/>
          <c:showPercent val="0"/>
          <c:showBubbleSize val="0"/>
        </c:dLbls>
        <c:marker val="1"/>
        <c:smooth val="0"/>
        <c:axId val="536960031"/>
        <c:axId val="536967711"/>
      </c:lineChart>
      <c:catAx>
        <c:axId val="5369600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536967711"/>
        <c:crosses val="autoZero"/>
        <c:auto val="1"/>
        <c:lblAlgn val="ctr"/>
        <c:lblOffset val="100"/>
        <c:noMultiLvlLbl val="0"/>
      </c:catAx>
      <c:valAx>
        <c:axId val="536967711"/>
        <c:scaling>
          <c:orientation val="minMax"/>
        </c:scaling>
        <c:delete val="0"/>
        <c:axPos val="l"/>
        <c:majorGridlines>
          <c:spPr>
            <a:ln w="9525" cap="flat" cmpd="sng" algn="ctr">
              <a:no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5369600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[Citybites Performance Dashboard.xlsx]Pivot_Analysis!PivotTable5</c:name>
    <c:fmtId val="3"/>
  </c:pivotSource>
  <c:chart>
    <c:autoTitleDeleted val="1"/>
    <c:pivotFmts>
      <c:pivotFmt>
        <c:idx val="0"/>
        <c:spPr>
          <a:solidFill>
            <a:schemeClr val="accent1"/>
          </a:solidFill>
          <a:ln w="28575" cap="rnd">
            <a:solidFill>
              <a:srgbClr val="DA8A67"/>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DA8A67"/>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rgbClr val="DA8A67"/>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Pivot_Analysis!$F$16</c:f>
              <c:strCache>
                <c:ptCount val="1"/>
                <c:pt idx="0">
                  <c:v>Total</c:v>
                </c:pt>
              </c:strCache>
            </c:strRef>
          </c:tx>
          <c:spPr>
            <a:ln w="28575" cap="rnd">
              <a:solidFill>
                <a:srgbClr val="DA8A67"/>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Pivot_Analysis!$E$17:$E$22</c:f>
              <c:strCache>
                <c:ptCount val="5"/>
                <c:pt idx="0">
                  <c:v>Week 1</c:v>
                </c:pt>
                <c:pt idx="1">
                  <c:v>Week 2</c:v>
                </c:pt>
                <c:pt idx="2">
                  <c:v>Week 3</c:v>
                </c:pt>
                <c:pt idx="3">
                  <c:v>Week 4</c:v>
                </c:pt>
                <c:pt idx="4">
                  <c:v>Week 5</c:v>
                </c:pt>
              </c:strCache>
            </c:strRef>
          </c:cat>
          <c:val>
            <c:numRef>
              <c:f>Pivot_Analysis!$F$17:$F$22</c:f>
              <c:numCache>
                <c:formatCode>_(* #,##0.00_);_(* \(#,##0.00\);_(* "-"??_);_(@_)</c:formatCode>
                <c:ptCount val="5"/>
                <c:pt idx="0">
                  <c:v>29069.018999999997</c:v>
                </c:pt>
                <c:pt idx="1">
                  <c:v>37722.188000000002</c:v>
                </c:pt>
                <c:pt idx="2">
                  <c:v>21506.824499999995</c:v>
                </c:pt>
                <c:pt idx="3">
                  <c:v>9716.3465000000033</c:v>
                </c:pt>
                <c:pt idx="4">
                  <c:v>1316.259</c:v>
                </c:pt>
              </c:numCache>
            </c:numRef>
          </c:val>
          <c:smooth val="0"/>
          <c:extLst>
            <c:ext xmlns:c16="http://schemas.microsoft.com/office/drawing/2014/chart" uri="{C3380CC4-5D6E-409C-BE32-E72D297353CC}">
              <c16:uniqueId val="{00000000-EC5C-4096-9EDC-257308E88084}"/>
            </c:ext>
          </c:extLst>
        </c:ser>
        <c:dLbls>
          <c:showLegendKey val="0"/>
          <c:showVal val="0"/>
          <c:showCatName val="0"/>
          <c:showSerName val="0"/>
          <c:showPercent val="0"/>
          <c:showBubbleSize val="0"/>
        </c:dLbls>
        <c:marker val="1"/>
        <c:smooth val="0"/>
        <c:axId val="536973471"/>
        <c:axId val="536961951"/>
      </c:lineChart>
      <c:catAx>
        <c:axId val="536973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536961951"/>
        <c:crosses val="autoZero"/>
        <c:auto val="1"/>
        <c:lblAlgn val="ctr"/>
        <c:lblOffset val="100"/>
        <c:noMultiLvlLbl val="0"/>
      </c:catAx>
      <c:valAx>
        <c:axId val="536961951"/>
        <c:scaling>
          <c:orientation val="minMax"/>
        </c:scaling>
        <c:delete val="0"/>
        <c:axPos val="l"/>
        <c:majorGridlines>
          <c:spPr>
            <a:ln w="9525" cap="flat" cmpd="sng" algn="ctr">
              <a:no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536973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[Citybites Performance Dashboard.xlsx]Pivot_Analysis!PivotTable6</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D4AF7F"/>
          </a:solidFill>
          <a:ln w="19050">
            <a:solidFill>
              <a:schemeClr val="lt1"/>
            </a:solidFill>
          </a:ln>
          <a:effectLst/>
        </c:spPr>
      </c:pivotFmt>
      <c:pivotFmt>
        <c:idx val="2"/>
        <c:spPr>
          <a:solidFill>
            <a:srgbClr val="D27D56"/>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D4AF7F"/>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rgbClr val="D27D56"/>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D4AF7F"/>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rgbClr val="D27D56"/>
          </a:solidFill>
          <a:ln w="19050">
            <a:solidFill>
              <a:schemeClr val="lt1"/>
            </a:solidFill>
          </a:ln>
          <a:effectLst/>
        </c:spPr>
      </c:pivotFmt>
    </c:pivotFmts>
    <c:plotArea>
      <c:layout>
        <c:manualLayout>
          <c:layoutTarget val="inner"/>
          <c:xMode val="edge"/>
          <c:yMode val="edge"/>
          <c:x val="0.2930925218899384"/>
          <c:y val="0.19609962245212215"/>
          <c:w val="0.40218964984336758"/>
          <c:h val="0.75175599685186667"/>
        </c:manualLayout>
      </c:layout>
      <c:pieChart>
        <c:varyColors val="1"/>
        <c:ser>
          <c:idx val="0"/>
          <c:order val="0"/>
          <c:tx>
            <c:strRef>
              <c:f>Pivot_Analysis!$K$16</c:f>
              <c:strCache>
                <c:ptCount val="1"/>
                <c:pt idx="0">
                  <c:v>Total</c:v>
                </c:pt>
              </c:strCache>
            </c:strRef>
          </c:tx>
          <c:dPt>
            <c:idx val="0"/>
            <c:bubble3D val="0"/>
            <c:spPr>
              <a:solidFill>
                <a:srgbClr val="D4AF7F"/>
              </a:solidFill>
              <a:ln w="19050">
                <a:solidFill>
                  <a:schemeClr val="lt1"/>
                </a:solidFill>
              </a:ln>
              <a:effectLst/>
            </c:spPr>
            <c:extLst>
              <c:ext xmlns:c16="http://schemas.microsoft.com/office/drawing/2014/chart" uri="{C3380CC4-5D6E-409C-BE32-E72D297353CC}">
                <c16:uniqueId val="{00000001-BD82-494B-95C9-CB83FCE6B87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D82-494B-95C9-CB83FCE6B879}"/>
              </c:ext>
            </c:extLst>
          </c:dPt>
          <c:dPt>
            <c:idx val="2"/>
            <c:bubble3D val="0"/>
            <c:spPr>
              <a:solidFill>
                <a:srgbClr val="D27D56"/>
              </a:solidFill>
              <a:ln w="19050">
                <a:solidFill>
                  <a:schemeClr val="lt1"/>
                </a:solidFill>
              </a:ln>
              <a:effectLst/>
            </c:spPr>
            <c:extLst>
              <c:ext xmlns:c16="http://schemas.microsoft.com/office/drawing/2014/chart" uri="{C3380CC4-5D6E-409C-BE32-E72D297353CC}">
                <c16:uniqueId val="{00000005-BD82-494B-95C9-CB83FCE6B87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Pivot_Analysis!$J$17:$J$20</c:f>
              <c:strCache>
                <c:ptCount val="3"/>
                <c:pt idx="0">
                  <c:v>Cancelled</c:v>
                </c:pt>
                <c:pt idx="1">
                  <c:v>Pending</c:v>
                </c:pt>
                <c:pt idx="2">
                  <c:v>Shipped</c:v>
                </c:pt>
              </c:strCache>
            </c:strRef>
          </c:cat>
          <c:val>
            <c:numRef>
              <c:f>Pivot_Analysis!$K$17:$K$20</c:f>
              <c:numCache>
                <c:formatCode>General</c:formatCode>
                <c:ptCount val="3"/>
                <c:pt idx="0">
                  <c:v>22</c:v>
                </c:pt>
                <c:pt idx="1">
                  <c:v>45</c:v>
                </c:pt>
                <c:pt idx="2">
                  <c:v>133</c:v>
                </c:pt>
              </c:numCache>
            </c:numRef>
          </c:val>
          <c:extLst>
            <c:ext xmlns:c16="http://schemas.microsoft.com/office/drawing/2014/chart" uri="{C3380CC4-5D6E-409C-BE32-E72D297353CC}">
              <c16:uniqueId val="{00000006-BD82-494B-95C9-CB83FCE6B879}"/>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hyperlink" Target="#'Pivot Table 1'!A1"/></Relationships>
</file>

<file path=xl/drawings/_rels/drawing2.xml.rels><?xml version="1.0" encoding="UTF-8" standalone="yes"?>
<Relationships xmlns="http://schemas.openxmlformats.org/package/2006/relationships"><Relationship Id="rId1" Type="http://schemas.openxmlformats.org/officeDocument/2006/relationships/hyperlink" Target="#'Dashboard 1'!A1"/></Relationships>
</file>

<file path=xl/drawings/_rels/drawing3.xml.rels><?xml version="1.0" encoding="UTF-8" standalone="yes"?>
<Relationships xmlns="http://schemas.openxmlformats.org/package/2006/relationships"><Relationship Id="rId8" Type="http://schemas.openxmlformats.org/officeDocument/2006/relationships/image" Target="../media/image2.svg"/><Relationship Id="rId13" Type="http://schemas.openxmlformats.org/officeDocument/2006/relationships/image" Target="../media/image5.png"/><Relationship Id="rId3" Type="http://schemas.openxmlformats.org/officeDocument/2006/relationships/chart" Target="../charts/chart3.xml"/><Relationship Id="rId7" Type="http://schemas.openxmlformats.org/officeDocument/2006/relationships/image" Target="../media/image1.png"/><Relationship Id="rId12" Type="http://schemas.openxmlformats.org/officeDocument/2006/relationships/hyperlink" Target="#'Pivot Table 1'!A1"/><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4.svg"/><Relationship Id="rId5" Type="http://schemas.openxmlformats.org/officeDocument/2006/relationships/chart" Target="../charts/chart5.xml"/><Relationship Id="rId15" Type="http://schemas.openxmlformats.org/officeDocument/2006/relationships/image" Target="../media/image7.png"/><Relationship Id="rId10" Type="http://schemas.openxmlformats.org/officeDocument/2006/relationships/image" Target="../media/image3.png"/><Relationship Id="rId4" Type="http://schemas.openxmlformats.org/officeDocument/2006/relationships/chart" Target="../charts/chart4.xml"/><Relationship Id="rId9" Type="http://schemas.openxmlformats.org/officeDocument/2006/relationships/hyperlink" Target="#'Raw Data'!A1"/><Relationship Id="rId14"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xdr:from>
      <xdr:col>22</xdr:col>
      <xdr:colOff>118057</xdr:colOff>
      <xdr:row>0</xdr:row>
      <xdr:rowOff>10731</xdr:rowOff>
    </xdr:from>
    <xdr:to>
      <xdr:col>25</xdr:col>
      <xdr:colOff>246844</xdr:colOff>
      <xdr:row>3</xdr:row>
      <xdr:rowOff>96592</xdr:rowOff>
    </xdr:to>
    <xdr:grpSp>
      <xdr:nvGrpSpPr>
        <xdr:cNvPr id="4" name="Group 3">
          <a:extLst>
            <a:ext uri="{FF2B5EF4-FFF2-40B4-BE49-F238E27FC236}">
              <a16:creationId xmlns:a16="http://schemas.microsoft.com/office/drawing/2014/main" id="{DFFA0C47-4773-3A74-C834-0DA137B2C38B}"/>
            </a:ext>
          </a:extLst>
        </xdr:cNvPr>
        <xdr:cNvGrpSpPr/>
      </xdr:nvGrpSpPr>
      <xdr:grpSpPr>
        <a:xfrm>
          <a:off x="13920648" y="10731"/>
          <a:ext cx="1947196" cy="631384"/>
          <a:chOff x="14037972" y="10731"/>
          <a:chExt cx="1964027" cy="633213"/>
        </a:xfrm>
      </xdr:grpSpPr>
      <xdr:sp macro="" textlink="">
        <xdr:nvSpPr>
          <xdr:cNvPr id="2" name="Arrow: Right 1">
            <a:hlinkClick xmlns:r="http://schemas.openxmlformats.org/officeDocument/2006/relationships" r:id="rId1"/>
            <a:extLst>
              <a:ext uri="{FF2B5EF4-FFF2-40B4-BE49-F238E27FC236}">
                <a16:creationId xmlns:a16="http://schemas.microsoft.com/office/drawing/2014/main" id="{86008561-DCD2-CC53-D8B4-310BD9E4669B}"/>
              </a:ext>
            </a:extLst>
          </xdr:cNvPr>
          <xdr:cNvSpPr/>
        </xdr:nvSpPr>
        <xdr:spPr>
          <a:xfrm>
            <a:off x="14037972" y="10731"/>
            <a:ext cx="1964027" cy="633213"/>
          </a:xfrm>
          <a:prstGeom prst="rightArrow">
            <a:avLst/>
          </a:prstGeom>
          <a:solidFill>
            <a:srgbClr val="8D1F17"/>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 name="TextBox 2">
            <a:extLst>
              <a:ext uri="{FF2B5EF4-FFF2-40B4-BE49-F238E27FC236}">
                <a16:creationId xmlns:a16="http://schemas.microsoft.com/office/drawing/2014/main" id="{883B43F6-0CF7-15DE-B55E-D6A685D5FE01}"/>
              </a:ext>
            </a:extLst>
          </xdr:cNvPr>
          <xdr:cNvSpPr txBox="1"/>
        </xdr:nvSpPr>
        <xdr:spPr>
          <a:xfrm>
            <a:off x="14220421" y="214646"/>
            <a:ext cx="1352283"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400" b="1">
                <a:solidFill>
                  <a:schemeClr val="bg1"/>
                </a:solidFill>
              </a:rPr>
              <a:t>PIVOT</a:t>
            </a:r>
            <a:r>
              <a:rPr lang="en-US" sz="1400" b="1" baseline="0">
                <a:solidFill>
                  <a:schemeClr val="bg1"/>
                </a:solidFill>
              </a:rPr>
              <a:t> TABLE</a:t>
            </a:r>
            <a:endParaRPr lang="en-US" sz="1400" b="1">
              <a:solidFill>
                <a:schemeClr val="bg1"/>
              </a:solidFill>
            </a:endParaRPr>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15</xdr:col>
      <xdr:colOff>22860</xdr:colOff>
      <xdr:row>2</xdr:row>
      <xdr:rowOff>38100</xdr:rowOff>
    </xdr:from>
    <xdr:to>
      <xdr:col>18</xdr:col>
      <xdr:colOff>441960</xdr:colOff>
      <xdr:row>5</xdr:row>
      <xdr:rowOff>129540</xdr:rowOff>
    </xdr:to>
    <xdr:sp macro="" textlink="">
      <xdr:nvSpPr>
        <xdr:cNvPr id="9" name="Arrow: Right 8">
          <a:extLst>
            <a:ext uri="{FF2B5EF4-FFF2-40B4-BE49-F238E27FC236}">
              <a16:creationId xmlns:a16="http://schemas.microsoft.com/office/drawing/2014/main" id="{56AFE787-2D2F-30C1-B73F-E91DCF0D33EB}"/>
            </a:ext>
          </a:extLst>
        </xdr:cNvPr>
        <xdr:cNvSpPr/>
      </xdr:nvSpPr>
      <xdr:spPr>
        <a:xfrm>
          <a:off x="14714220" y="403860"/>
          <a:ext cx="2247900" cy="640080"/>
        </a:xfrm>
        <a:prstGeom prst="rightArrow">
          <a:avLst/>
        </a:prstGeom>
        <a:solidFill>
          <a:srgbClr val="8D1F17"/>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15</xdr:col>
      <xdr:colOff>198120</xdr:colOff>
      <xdr:row>3</xdr:row>
      <xdr:rowOff>30480</xdr:rowOff>
    </xdr:from>
    <xdr:ext cx="1722120" cy="311496"/>
    <xdr:sp macro="" textlink="">
      <xdr:nvSpPr>
        <xdr:cNvPr id="10" name="TextBox 9">
          <a:hlinkClick xmlns:r="http://schemas.openxmlformats.org/officeDocument/2006/relationships" r:id="rId1"/>
          <a:extLst>
            <a:ext uri="{FF2B5EF4-FFF2-40B4-BE49-F238E27FC236}">
              <a16:creationId xmlns:a16="http://schemas.microsoft.com/office/drawing/2014/main" id="{1160C151-3E6D-B3FA-7D45-6C450BBF378E}"/>
            </a:ext>
          </a:extLst>
        </xdr:cNvPr>
        <xdr:cNvSpPr txBox="1"/>
      </xdr:nvSpPr>
      <xdr:spPr>
        <a:xfrm>
          <a:off x="14889480" y="579120"/>
          <a:ext cx="1722120"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400" b="1">
              <a:solidFill>
                <a:schemeClr val="bg1"/>
              </a:solidFill>
            </a:rPr>
            <a:t>DASHBOARD</a:t>
          </a:r>
        </a:p>
      </xdr:txBody>
    </xdr:sp>
    <xdr:clientData/>
  </xdr:oneCellAnchor>
</xdr:wsDr>
</file>

<file path=xl/drawings/drawing3.xml><?xml version="1.0" encoding="utf-8"?>
<xdr:wsDr xmlns:xdr="http://schemas.openxmlformats.org/drawingml/2006/spreadsheetDrawing" xmlns:a="http://schemas.openxmlformats.org/drawingml/2006/main">
  <xdr:twoCellAnchor>
    <xdr:from>
      <xdr:col>0</xdr:col>
      <xdr:colOff>139290</xdr:colOff>
      <xdr:row>19</xdr:row>
      <xdr:rowOff>40967</xdr:rowOff>
    </xdr:from>
    <xdr:to>
      <xdr:col>2</xdr:col>
      <xdr:colOff>122903</xdr:colOff>
      <xdr:row>23</xdr:row>
      <xdr:rowOff>172064</xdr:rowOff>
    </xdr:to>
    <xdr:sp macro="" textlink="">
      <xdr:nvSpPr>
        <xdr:cNvPr id="98" name="Rectangle: Rounded Corners 97">
          <a:extLst>
            <a:ext uri="{FF2B5EF4-FFF2-40B4-BE49-F238E27FC236}">
              <a16:creationId xmlns:a16="http://schemas.microsoft.com/office/drawing/2014/main" id="{248155BA-003B-2430-2849-9934994587FD}"/>
            </a:ext>
          </a:extLst>
        </xdr:cNvPr>
        <xdr:cNvSpPr/>
      </xdr:nvSpPr>
      <xdr:spPr>
        <a:xfrm>
          <a:off x="139290" y="3465870"/>
          <a:ext cx="1196258" cy="852129"/>
        </a:xfrm>
        <a:prstGeom prst="roundRect">
          <a:avLst/>
        </a:prstGeom>
        <a:solidFill>
          <a:srgbClr val="E38B7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98323</xdr:colOff>
      <xdr:row>12</xdr:row>
      <xdr:rowOff>176980</xdr:rowOff>
    </xdr:from>
    <xdr:to>
      <xdr:col>2</xdr:col>
      <xdr:colOff>180258</xdr:colOff>
      <xdr:row>17</xdr:row>
      <xdr:rowOff>73742</xdr:rowOff>
    </xdr:to>
    <xdr:sp macro="" textlink="">
      <xdr:nvSpPr>
        <xdr:cNvPr id="70" name="Rectangle: Rounded Corners 69">
          <a:extLst>
            <a:ext uri="{FF2B5EF4-FFF2-40B4-BE49-F238E27FC236}">
              <a16:creationId xmlns:a16="http://schemas.microsoft.com/office/drawing/2014/main" id="{E565A49D-F223-4C60-B3D9-0B28695B0D49}"/>
            </a:ext>
          </a:extLst>
        </xdr:cNvPr>
        <xdr:cNvSpPr/>
      </xdr:nvSpPr>
      <xdr:spPr>
        <a:xfrm>
          <a:off x="98323" y="2340077"/>
          <a:ext cx="1294580" cy="798052"/>
        </a:xfrm>
        <a:prstGeom prst="roundRect">
          <a:avLst/>
        </a:prstGeom>
        <a:solidFill>
          <a:srgbClr val="E38B7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147484</xdr:colOff>
      <xdr:row>7</xdr:row>
      <xdr:rowOff>49162</xdr:rowOff>
    </xdr:from>
    <xdr:to>
      <xdr:col>2</xdr:col>
      <xdr:colOff>114710</xdr:colOff>
      <xdr:row>11</xdr:row>
      <xdr:rowOff>24581</xdr:rowOff>
    </xdr:to>
    <xdr:sp macro="" textlink="">
      <xdr:nvSpPr>
        <xdr:cNvPr id="69" name="Rectangle: Rounded Corners 68">
          <a:extLst>
            <a:ext uri="{FF2B5EF4-FFF2-40B4-BE49-F238E27FC236}">
              <a16:creationId xmlns:a16="http://schemas.microsoft.com/office/drawing/2014/main" id="{3CA00C7F-A95E-4FA2-96AB-FAF2FA24BCD7}"/>
            </a:ext>
          </a:extLst>
        </xdr:cNvPr>
        <xdr:cNvSpPr/>
      </xdr:nvSpPr>
      <xdr:spPr>
        <a:xfrm>
          <a:off x="147484" y="1310968"/>
          <a:ext cx="1179871" cy="696452"/>
        </a:xfrm>
        <a:prstGeom prst="roundRect">
          <a:avLst/>
        </a:prstGeom>
        <a:solidFill>
          <a:srgbClr val="E38B7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114710</xdr:colOff>
      <xdr:row>1</xdr:row>
      <xdr:rowOff>131097</xdr:rowOff>
    </xdr:from>
    <xdr:to>
      <xdr:col>2</xdr:col>
      <xdr:colOff>131097</xdr:colOff>
      <xdr:row>5</xdr:row>
      <xdr:rowOff>106517</xdr:rowOff>
    </xdr:to>
    <xdr:sp macro="" textlink="">
      <xdr:nvSpPr>
        <xdr:cNvPr id="67" name="Rectangle: Rounded Corners 66">
          <a:extLst>
            <a:ext uri="{FF2B5EF4-FFF2-40B4-BE49-F238E27FC236}">
              <a16:creationId xmlns:a16="http://schemas.microsoft.com/office/drawing/2014/main" id="{83F25DA7-1D1E-4313-B14F-99B6AA762C33}"/>
            </a:ext>
          </a:extLst>
        </xdr:cNvPr>
        <xdr:cNvSpPr/>
      </xdr:nvSpPr>
      <xdr:spPr>
        <a:xfrm>
          <a:off x="114710" y="311355"/>
          <a:ext cx="1229032" cy="696452"/>
        </a:xfrm>
        <a:prstGeom prst="roundRect">
          <a:avLst/>
        </a:prstGeom>
        <a:solidFill>
          <a:srgbClr val="E38B7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81730</xdr:colOff>
      <xdr:row>0</xdr:row>
      <xdr:rowOff>114710</xdr:rowOff>
    </xdr:from>
    <xdr:to>
      <xdr:col>2</xdr:col>
      <xdr:colOff>246830</xdr:colOff>
      <xdr:row>36</xdr:row>
      <xdr:rowOff>8195</xdr:rowOff>
    </xdr:to>
    <xdr:sp macro="" textlink="">
      <xdr:nvSpPr>
        <xdr:cNvPr id="3" name="Rectangle: Rounded Corners 2">
          <a:extLst>
            <a:ext uri="{FF2B5EF4-FFF2-40B4-BE49-F238E27FC236}">
              <a16:creationId xmlns:a16="http://schemas.microsoft.com/office/drawing/2014/main" id="{0E678A4F-6EDE-02D5-1597-49F2531BFB34}"/>
            </a:ext>
          </a:extLst>
        </xdr:cNvPr>
        <xdr:cNvSpPr/>
      </xdr:nvSpPr>
      <xdr:spPr>
        <a:xfrm>
          <a:off x="81730" y="114710"/>
          <a:ext cx="1377745" cy="6382775"/>
        </a:xfrm>
        <a:prstGeom prst="roundRect">
          <a:avLst/>
        </a:prstGeom>
        <a:solidFill>
          <a:srgbClr val="8D1F17"/>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275981</xdr:colOff>
      <xdr:row>7</xdr:row>
      <xdr:rowOff>80597</xdr:rowOff>
    </xdr:from>
    <xdr:to>
      <xdr:col>19</xdr:col>
      <xdr:colOff>603722</xdr:colOff>
      <xdr:row>11</xdr:row>
      <xdr:rowOff>109904</xdr:rowOff>
    </xdr:to>
    <xdr:grpSp>
      <xdr:nvGrpSpPr>
        <xdr:cNvPr id="100" name="Group 99">
          <a:extLst>
            <a:ext uri="{FF2B5EF4-FFF2-40B4-BE49-F238E27FC236}">
              <a16:creationId xmlns:a16="http://schemas.microsoft.com/office/drawing/2014/main" id="{8309B7C5-C73D-94C2-FCD9-C9C23F92D2DD}"/>
            </a:ext>
          </a:extLst>
        </xdr:cNvPr>
        <xdr:cNvGrpSpPr/>
      </xdr:nvGrpSpPr>
      <xdr:grpSpPr>
        <a:xfrm>
          <a:off x="1503648" y="1340014"/>
          <a:ext cx="10762907" cy="748973"/>
          <a:chOff x="1481118" y="1410780"/>
          <a:chExt cx="10758234" cy="765287"/>
        </a:xfrm>
      </xdr:grpSpPr>
      <xdr:grpSp>
        <xdr:nvGrpSpPr>
          <xdr:cNvPr id="92" name="Group 91">
            <a:extLst>
              <a:ext uri="{FF2B5EF4-FFF2-40B4-BE49-F238E27FC236}">
                <a16:creationId xmlns:a16="http://schemas.microsoft.com/office/drawing/2014/main" id="{9A7DA16C-5296-91FF-6275-92AD32FE3731}"/>
              </a:ext>
            </a:extLst>
          </xdr:cNvPr>
          <xdr:cNvGrpSpPr/>
        </xdr:nvGrpSpPr>
        <xdr:grpSpPr>
          <a:xfrm>
            <a:off x="1481118" y="1441426"/>
            <a:ext cx="1742351" cy="710061"/>
            <a:chOff x="1466646" y="1458452"/>
            <a:chExt cx="1720644" cy="718574"/>
          </a:xfrm>
        </xdr:grpSpPr>
        <xdr:sp macro="" textlink="Pivot_Analysis!N7">
          <xdr:nvSpPr>
            <xdr:cNvPr id="25" name="Rectangle: Rounded Corners 24">
              <a:extLst>
                <a:ext uri="{FF2B5EF4-FFF2-40B4-BE49-F238E27FC236}">
                  <a16:creationId xmlns:a16="http://schemas.microsoft.com/office/drawing/2014/main" id="{3883AEAC-C22E-4767-9F62-11530C304E10}"/>
                </a:ext>
              </a:extLst>
            </xdr:cNvPr>
            <xdr:cNvSpPr/>
          </xdr:nvSpPr>
          <xdr:spPr>
            <a:xfrm>
              <a:off x="1466646" y="1458452"/>
              <a:ext cx="1720644" cy="718574"/>
            </a:xfrm>
            <a:prstGeom prst="roundRect">
              <a:avLst/>
            </a:prstGeom>
            <a:solidFill>
              <a:srgbClr val="8D1F17"/>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3A47E8E7-0ABB-48FE-8437-C6131C5B365A}" type="TxLink">
                <a:rPr lang="en-US" sz="1400" b="1" i="0" u="none" strike="noStrike">
                  <a:solidFill>
                    <a:schemeClr val="bg1"/>
                  </a:solidFill>
                  <a:latin typeface="Calibri"/>
                  <a:cs typeface="Calibri"/>
                </a:rPr>
                <a:pPr algn="ctr"/>
                <a:t>200</a:t>
              </a:fld>
              <a:endParaRPr lang="en-US" sz="1400" b="1">
                <a:solidFill>
                  <a:schemeClr val="bg1"/>
                </a:solidFill>
              </a:endParaRPr>
            </a:p>
          </xdr:txBody>
        </xdr:sp>
        <xdr:sp macro="" textlink="">
          <xdr:nvSpPr>
            <xdr:cNvPr id="37" name="TextBox 36">
              <a:extLst>
                <a:ext uri="{FF2B5EF4-FFF2-40B4-BE49-F238E27FC236}">
                  <a16:creationId xmlns:a16="http://schemas.microsoft.com/office/drawing/2014/main" id="{C0D70EF1-DB40-59EC-BD8D-3434B660F18F}"/>
                </a:ext>
              </a:extLst>
            </xdr:cNvPr>
            <xdr:cNvSpPr txBox="1"/>
          </xdr:nvSpPr>
          <xdr:spPr>
            <a:xfrm>
              <a:off x="1778000" y="1458452"/>
              <a:ext cx="1310968" cy="3605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400" b="1">
                  <a:solidFill>
                    <a:schemeClr val="bg1"/>
                  </a:solidFill>
                </a:rPr>
                <a:t>TOTAL ORDER</a:t>
              </a:r>
            </a:p>
          </xdr:txBody>
        </xdr:sp>
      </xdr:grpSp>
      <xdr:grpSp>
        <xdr:nvGrpSpPr>
          <xdr:cNvPr id="91" name="Group 90">
            <a:extLst>
              <a:ext uri="{FF2B5EF4-FFF2-40B4-BE49-F238E27FC236}">
                <a16:creationId xmlns:a16="http://schemas.microsoft.com/office/drawing/2014/main" id="{07715638-E573-03E6-B785-990B0DD04ED7}"/>
              </a:ext>
            </a:extLst>
          </xdr:cNvPr>
          <xdr:cNvGrpSpPr/>
        </xdr:nvGrpSpPr>
        <xdr:grpSpPr>
          <a:xfrm>
            <a:off x="3272630" y="1410780"/>
            <a:ext cx="1742352" cy="732514"/>
            <a:chOff x="3236451" y="1425677"/>
            <a:chExt cx="1720644" cy="743156"/>
          </a:xfrm>
        </xdr:grpSpPr>
        <xdr:sp macro="" textlink="Pivot_Analysis!N11">
          <xdr:nvSpPr>
            <xdr:cNvPr id="26" name="Rectangle: Rounded Corners 25">
              <a:extLst>
                <a:ext uri="{FF2B5EF4-FFF2-40B4-BE49-F238E27FC236}">
                  <a16:creationId xmlns:a16="http://schemas.microsoft.com/office/drawing/2014/main" id="{D7DCAD8F-95DF-4313-863B-B66A219B5833}"/>
                </a:ext>
              </a:extLst>
            </xdr:cNvPr>
            <xdr:cNvSpPr/>
          </xdr:nvSpPr>
          <xdr:spPr>
            <a:xfrm>
              <a:off x="3236451" y="1450259"/>
              <a:ext cx="1720644" cy="718574"/>
            </a:xfrm>
            <a:prstGeom prst="roundRect">
              <a:avLst/>
            </a:prstGeom>
            <a:solidFill>
              <a:srgbClr val="8D1F17"/>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22B41111-7814-4B24-B833-AB216453C261}" type="TxLink">
                <a:rPr lang="en-US" sz="1400" b="0" i="0" u="none" strike="noStrike">
                  <a:solidFill>
                    <a:schemeClr val="bg1"/>
                  </a:solidFill>
                  <a:latin typeface="Calibri"/>
                  <a:cs typeface="Calibri"/>
                </a:rPr>
                <a:pPr algn="ctr"/>
                <a:t> 383,132.46 </a:t>
              </a:fld>
              <a:endParaRPr lang="en-US" sz="1400">
                <a:solidFill>
                  <a:schemeClr val="bg1"/>
                </a:solidFill>
              </a:endParaRPr>
            </a:p>
          </xdr:txBody>
        </xdr:sp>
        <xdr:sp macro="" textlink="">
          <xdr:nvSpPr>
            <xdr:cNvPr id="38" name="TextBox 37">
              <a:extLst>
                <a:ext uri="{FF2B5EF4-FFF2-40B4-BE49-F238E27FC236}">
                  <a16:creationId xmlns:a16="http://schemas.microsoft.com/office/drawing/2014/main" id="{C00F9E44-E7A0-3AE2-FD3C-A7DF731C8090}"/>
                </a:ext>
              </a:extLst>
            </xdr:cNvPr>
            <xdr:cNvSpPr txBox="1"/>
          </xdr:nvSpPr>
          <xdr:spPr>
            <a:xfrm>
              <a:off x="3400323" y="1425677"/>
              <a:ext cx="1417484" cy="2867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400" b="1">
                  <a:solidFill>
                    <a:schemeClr val="bg1"/>
                  </a:solidFill>
                </a:rPr>
                <a:t>TOTAL REVENUE</a:t>
              </a:r>
            </a:p>
          </xdr:txBody>
        </xdr:sp>
      </xdr:grpSp>
      <xdr:grpSp>
        <xdr:nvGrpSpPr>
          <xdr:cNvPr id="90" name="Group 89">
            <a:extLst>
              <a:ext uri="{FF2B5EF4-FFF2-40B4-BE49-F238E27FC236}">
                <a16:creationId xmlns:a16="http://schemas.microsoft.com/office/drawing/2014/main" id="{386CCCC2-9209-8FCD-64AD-47E7AF00AD1D}"/>
              </a:ext>
            </a:extLst>
          </xdr:cNvPr>
          <xdr:cNvGrpSpPr/>
        </xdr:nvGrpSpPr>
        <xdr:grpSpPr>
          <a:xfrm>
            <a:off x="5072340" y="1418975"/>
            <a:ext cx="1742352" cy="732512"/>
            <a:chOff x="5014453" y="1433872"/>
            <a:chExt cx="1720644" cy="743154"/>
          </a:xfrm>
        </xdr:grpSpPr>
        <xdr:sp macro="" textlink="Pivot_Analysis!N15">
          <xdr:nvSpPr>
            <xdr:cNvPr id="27" name="Rectangle: Rounded Corners 26">
              <a:extLst>
                <a:ext uri="{FF2B5EF4-FFF2-40B4-BE49-F238E27FC236}">
                  <a16:creationId xmlns:a16="http://schemas.microsoft.com/office/drawing/2014/main" id="{DB240D3B-B243-44A4-9A0E-73473F606872}"/>
                </a:ext>
              </a:extLst>
            </xdr:cNvPr>
            <xdr:cNvSpPr/>
          </xdr:nvSpPr>
          <xdr:spPr>
            <a:xfrm>
              <a:off x="5014453" y="1458452"/>
              <a:ext cx="1720644" cy="718574"/>
            </a:xfrm>
            <a:prstGeom prst="roundRect">
              <a:avLst/>
            </a:prstGeom>
            <a:solidFill>
              <a:srgbClr val="8D1F17"/>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A7297F10-D4B2-41BB-9D69-1E32B899469D}" type="TxLink">
                <a:rPr lang="en-US" sz="1400" b="1" i="0" u="none" strike="noStrike">
                  <a:solidFill>
                    <a:schemeClr val="bg1"/>
                  </a:solidFill>
                  <a:latin typeface="Calibri"/>
                  <a:cs typeface="Calibri"/>
                </a:rPr>
                <a:pPr algn="ctr"/>
                <a:t> 99,330.64 </a:t>
              </a:fld>
              <a:endParaRPr lang="en-US" sz="1400" b="1">
                <a:solidFill>
                  <a:schemeClr val="bg1"/>
                </a:solidFill>
              </a:endParaRPr>
            </a:p>
          </xdr:txBody>
        </xdr:sp>
        <xdr:sp macro="" textlink="">
          <xdr:nvSpPr>
            <xdr:cNvPr id="39" name="TextBox 38">
              <a:extLst>
                <a:ext uri="{FF2B5EF4-FFF2-40B4-BE49-F238E27FC236}">
                  <a16:creationId xmlns:a16="http://schemas.microsoft.com/office/drawing/2014/main" id="{D810E3A2-BB7B-B685-1276-7B2B2303B1A7}"/>
                </a:ext>
              </a:extLst>
            </xdr:cNvPr>
            <xdr:cNvSpPr txBox="1"/>
          </xdr:nvSpPr>
          <xdr:spPr>
            <a:xfrm>
              <a:off x="5268452" y="1433872"/>
              <a:ext cx="1466645" cy="2785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400" b="1">
                  <a:solidFill>
                    <a:schemeClr val="bg1"/>
                  </a:solidFill>
                </a:rPr>
                <a:t>TOTAL PROFIT</a:t>
              </a:r>
            </a:p>
          </xdr:txBody>
        </xdr:sp>
      </xdr:grpSp>
      <xdr:grpSp>
        <xdr:nvGrpSpPr>
          <xdr:cNvPr id="89" name="Group 88">
            <a:extLst>
              <a:ext uri="{FF2B5EF4-FFF2-40B4-BE49-F238E27FC236}">
                <a16:creationId xmlns:a16="http://schemas.microsoft.com/office/drawing/2014/main" id="{6BD5C99E-201B-422C-3338-C3BCD33AF92D}"/>
              </a:ext>
            </a:extLst>
          </xdr:cNvPr>
          <xdr:cNvGrpSpPr/>
        </xdr:nvGrpSpPr>
        <xdr:grpSpPr>
          <a:xfrm>
            <a:off x="6872046" y="1425040"/>
            <a:ext cx="1742351" cy="734640"/>
            <a:chOff x="6792451" y="1442066"/>
            <a:chExt cx="1720644" cy="743153"/>
          </a:xfrm>
        </xdr:grpSpPr>
        <xdr:sp macro="" textlink="Pivot_Analysis!O28">
          <xdr:nvSpPr>
            <xdr:cNvPr id="31" name="Rectangle: Rounded Corners 30">
              <a:extLst>
                <a:ext uri="{FF2B5EF4-FFF2-40B4-BE49-F238E27FC236}">
                  <a16:creationId xmlns:a16="http://schemas.microsoft.com/office/drawing/2014/main" id="{2C92B76B-68A9-4C0E-A530-AE292B76A166}"/>
                </a:ext>
              </a:extLst>
            </xdr:cNvPr>
            <xdr:cNvSpPr/>
          </xdr:nvSpPr>
          <xdr:spPr>
            <a:xfrm>
              <a:off x="6792451" y="1466645"/>
              <a:ext cx="1720644" cy="718574"/>
            </a:xfrm>
            <a:prstGeom prst="roundRect">
              <a:avLst/>
            </a:prstGeom>
            <a:solidFill>
              <a:srgbClr val="8D1F17"/>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49DC3A4C-34A6-43C0-BD7E-E7D3F872382D}" type="TxLink">
                <a:rPr lang="en-US" sz="1400" b="1" i="0" u="none" strike="noStrike">
                  <a:solidFill>
                    <a:schemeClr val="bg1"/>
                  </a:solidFill>
                  <a:latin typeface="Calibri"/>
                  <a:cs typeface="Calibri"/>
                </a:rPr>
                <a:pPr algn="ctr"/>
                <a:t>66.5%</a:t>
              </a:fld>
              <a:endParaRPr lang="en-US" sz="1400" b="1">
                <a:solidFill>
                  <a:schemeClr val="bg1"/>
                </a:solidFill>
              </a:endParaRPr>
            </a:p>
          </xdr:txBody>
        </xdr:sp>
        <xdr:sp macro="" textlink="">
          <xdr:nvSpPr>
            <xdr:cNvPr id="40" name="TextBox 39">
              <a:extLst>
                <a:ext uri="{FF2B5EF4-FFF2-40B4-BE49-F238E27FC236}">
                  <a16:creationId xmlns:a16="http://schemas.microsoft.com/office/drawing/2014/main" id="{9F51D807-512E-4991-47C3-76B41C5F8F14}"/>
                </a:ext>
              </a:extLst>
            </xdr:cNvPr>
            <xdr:cNvSpPr txBox="1"/>
          </xdr:nvSpPr>
          <xdr:spPr>
            <a:xfrm>
              <a:off x="6882581" y="1442066"/>
              <a:ext cx="1614129" cy="30316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400" b="1">
                  <a:solidFill>
                    <a:schemeClr val="bg1"/>
                  </a:solidFill>
                </a:rPr>
                <a:t>SHIPPED RATE (%)</a:t>
              </a:r>
            </a:p>
            <a:p>
              <a:endParaRPr lang="en-US" sz="1100" b="1">
                <a:solidFill>
                  <a:schemeClr val="bg1"/>
                </a:solidFill>
              </a:endParaRPr>
            </a:p>
            <a:p>
              <a:r>
                <a:rPr lang="en-US" sz="1100" b="1">
                  <a:solidFill>
                    <a:schemeClr val="bg1"/>
                  </a:solidFill>
                </a:rPr>
                <a:t>0</a:t>
              </a:r>
            </a:p>
          </xdr:txBody>
        </xdr:sp>
      </xdr:grpSp>
      <xdr:grpSp>
        <xdr:nvGrpSpPr>
          <xdr:cNvPr id="88" name="Group 87">
            <a:extLst>
              <a:ext uri="{FF2B5EF4-FFF2-40B4-BE49-F238E27FC236}">
                <a16:creationId xmlns:a16="http://schemas.microsoft.com/office/drawing/2014/main" id="{049259D0-0949-9670-B231-CA4C678BD10D}"/>
              </a:ext>
            </a:extLst>
          </xdr:cNvPr>
          <xdr:cNvGrpSpPr/>
        </xdr:nvGrpSpPr>
        <xdr:grpSpPr>
          <a:xfrm>
            <a:off x="8671752" y="1418975"/>
            <a:ext cx="1735116" cy="740705"/>
            <a:chOff x="8570450" y="1433872"/>
            <a:chExt cx="1720644" cy="751347"/>
          </a:xfrm>
        </xdr:grpSpPr>
        <xdr:sp macro="" textlink="Pivot_Analysis!O26">
          <xdr:nvSpPr>
            <xdr:cNvPr id="29" name="Rectangle: Rounded Corners 28">
              <a:extLst>
                <a:ext uri="{FF2B5EF4-FFF2-40B4-BE49-F238E27FC236}">
                  <a16:creationId xmlns:a16="http://schemas.microsoft.com/office/drawing/2014/main" id="{438574AE-D71C-4AB1-B699-96E8828F01FE}"/>
                </a:ext>
              </a:extLst>
            </xdr:cNvPr>
            <xdr:cNvSpPr/>
          </xdr:nvSpPr>
          <xdr:spPr>
            <a:xfrm>
              <a:off x="8570450" y="1466645"/>
              <a:ext cx="1720644" cy="718574"/>
            </a:xfrm>
            <a:prstGeom prst="roundRect">
              <a:avLst/>
            </a:prstGeom>
            <a:solidFill>
              <a:srgbClr val="8D1F17"/>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D100E629-CAE4-4A7F-87D0-6BAAAFBBEC09}" type="TxLink">
                <a:rPr lang="en-US" sz="1400" b="1" i="0" u="none" strike="noStrike">
                  <a:solidFill>
                    <a:schemeClr val="bg1"/>
                  </a:solidFill>
                  <a:latin typeface="Calibri"/>
                  <a:cs typeface="Calibri"/>
                </a:rPr>
                <a:pPr algn="ctr"/>
                <a:t>11.0%</a:t>
              </a:fld>
              <a:endParaRPr lang="en-US" sz="1400" b="1">
                <a:solidFill>
                  <a:schemeClr val="bg1"/>
                </a:solidFill>
              </a:endParaRPr>
            </a:p>
          </xdr:txBody>
        </xdr:sp>
        <xdr:sp macro="" textlink="">
          <xdr:nvSpPr>
            <xdr:cNvPr id="41" name="TextBox 40">
              <a:extLst>
                <a:ext uri="{FF2B5EF4-FFF2-40B4-BE49-F238E27FC236}">
                  <a16:creationId xmlns:a16="http://schemas.microsoft.com/office/drawing/2014/main" id="{BBBA0410-5412-1BEA-0D6D-62B813C7BA27}"/>
                </a:ext>
              </a:extLst>
            </xdr:cNvPr>
            <xdr:cNvSpPr txBox="1"/>
          </xdr:nvSpPr>
          <xdr:spPr>
            <a:xfrm>
              <a:off x="8644194" y="1433872"/>
              <a:ext cx="1622323" cy="2949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400" b="1">
                  <a:solidFill>
                    <a:schemeClr val="bg1"/>
                  </a:solidFill>
                </a:rPr>
                <a:t>CANCELLED ORDER</a:t>
              </a:r>
            </a:p>
          </xdr:txBody>
        </xdr:sp>
      </xdr:grpSp>
      <xdr:grpSp>
        <xdr:nvGrpSpPr>
          <xdr:cNvPr id="87" name="Group 86">
            <a:extLst>
              <a:ext uri="{FF2B5EF4-FFF2-40B4-BE49-F238E27FC236}">
                <a16:creationId xmlns:a16="http://schemas.microsoft.com/office/drawing/2014/main" id="{05A99A30-5861-64B8-D023-E3C523B16726}"/>
              </a:ext>
            </a:extLst>
          </xdr:cNvPr>
          <xdr:cNvGrpSpPr/>
        </xdr:nvGrpSpPr>
        <xdr:grpSpPr>
          <a:xfrm>
            <a:off x="10463268" y="1457814"/>
            <a:ext cx="1776084" cy="718253"/>
            <a:chOff x="10340258" y="1474840"/>
            <a:chExt cx="1761613" cy="726766"/>
          </a:xfrm>
        </xdr:grpSpPr>
        <xdr:sp macro="" textlink="Pivot_Analysis!N32">
          <xdr:nvSpPr>
            <xdr:cNvPr id="30" name="Rectangle: Rounded Corners 29">
              <a:extLst>
                <a:ext uri="{FF2B5EF4-FFF2-40B4-BE49-F238E27FC236}">
                  <a16:creationId xmlns:a16="http://schemas.microsoft.com/office/drawing/2014/main" id="{A052D655-F7DF-4CB6-917A-CA423F66D47B}"/>
                </a:ext>
              </a:extLst>
            </xdr:cNvPr>
            <xdr:cNvSpPr/>
          </xdr:nvSpPr>
          <xdr:spPr>
            <a:xfrm>
              <a:off x="10340258" y="1483032"/>
              <a:ext cx="1720644" cy="718574"/>
            </a:xfrm>
            <a:prstGeom prst="roundRect">
              <a:avLst/>
            </a:prstGeom>
            <a:solidFill>
              <a:srgbClr val="8D1F17"/>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A15EB5D7-515D-4515-8EED-D54A4A9D9E84}" type="TxLink">
                <a:rPr lang="en-US" sz="1400" b="1" i="0" u="none" strike="noStrike">
                  <a:solidFill>
                    <a:schemeClr val="bg1"/>
                  </a:solidFill>
                  <a:latin typeface="Calibri"/>
                  <a:cs typeface="Calibri"/>
                </a:rPr>
                <a:pPr algn="ctr"/>
                <a:t>5</a:t>
              </a:fld>
              <a:endParaRPr lang="en-US" sz="1400" b="1">
                <a:solidFill>
                  <a:schemeClr val="bg1"/>
                </a:solidFill>
              </a:endParaRPr>
            </a:p>
          </xdr:txBody>
        </xdr:sp>
        <xdr:sp macro="" textlink="">
          <xdr:nvSpPr>
            <xdr:cNvPr id="42" name="TextBox 41">
              <a:extLst>
                <a:ext uri="{FF2B5EF4-FFF2-40B4-BE49-F238E27FC236}">
                  <a16:creationId xmlns:a16="http://schemas.microsoft.com/office/drawing/2014/main" id="{18A83EA4-488A-B246-E9BA-04F690DDF848}"/>
                </a:ext>
              </a:extLst>
            </xdr:cNvPr>
            <xdr:cNvSpPr txBox="1"/>
          </xdr:nvSpPr>
          <xdr:spPr>
            <a:xfrm>
              <a:off x="10356645" y="1474840"/>
              <a:ext cx="1745226" cy="2785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400" b="1">
                  <a:solidFill>
                    <a:schemeClr val="bg1"/>
                  </a:solidFill>
                </a:rPr>
                <a:t>TOTAL RESTAURANT</a:t>
              </a:r>
            </a:p>
          </xdr:txBody>
        </xdr:sp>
      </xdr:grpSp>
    </xdr:grpSp>
    <xdr:clientData/>
  </xdr:twoCellAnchor>
  <xdr:twoCellAnchor>
    <xdr:from>
      <xdr:col>2</xdr:col>
      <xdr:colOff>262194</xdr:colOff>
      <xdr:row>12</xdr:row>
      <xdr:rowOff>16387</xdr:rowOff>
    </xdr:from>
    <xdr:to>
      <xdr:col>8</xdr:col>
      <xdr:colOff>135554</xdr:colOff>
      <xdr:row>23</xdr:row>
      <xdr:rowOff>167542</xdr:rowOff>
    </xdr:to>
    <xdr:grpSp>
      <xdr:nvGrpSpPr>
        <xdr:cNvPr id="85" name="Group 84">
          <a:extLst>
            <a:ext uri="{FF2B5EF4-FFF2-40B4-BE49-F238E27FC236}">
              <a16:creationId xmlns:a16="http://schemas.microsoft.com/office/drawing/2014/main" id="{7C012490-3351-17E0-797F-5FA0D535FABB}"/>
            </a:ext>
          </a:extLst>
        </xdr:cNvPr>
        <xdr:cNvGrpSpPr/>
      </xdr:nvGrpSpPr>
      <xdr:grpSpPr>
        <a:xfrm>
          <a:off x="1489861" y="2175387"/>
          <a:ext cx="3556360" cy="2130238"/>
          <a:chOff x="1474839" y="2179484"/>
          <a:chExt cx="3511296" cy="2133993"/>
        </a:xfrm>
      </xdr:grpSpPr>
      <xdr:grpSp>
        <xdr:nvGrpSpPr>
          <xdr:cNvPr id="82" name="Group 81">
            <a:extLst>
              <a:ext uri="{FF2B5EF4-FFF2-40B4-BE49-F238E27FC236}">
                <a16:creationId xmlns:a16="http://schemas.microsoft.com/office/drawing/2014/main" id="{3C2A232F-67C1-5135-8EF7-A190FF9247EA}"/>
              </a:ext>
            </a:extLst>
          </xdr:cNvPr>
          <xdr:cNvGrpSpPr/>
        </xdr:nvGrpSpPr>
        <xdr:grpSpPr>
          <a:xfrm>
            <a:off x="1474839" y="2228645"/>
            <a:ext cx="3511296" cy="2084832"/>
            <a:chOff x="1474839" y="2228645"/>
            <a:chExt cx="3511296" cy="2084832"/>
          </a:xfrm>
        </xdr:grpSpPr>
        <xdr:sp macro="" textlink="">
          <xdr:nvSpPr>
            <xdr:cNvPr id="32" name="Rectangle: Rounded Corners 31">
              <a:extLst>
                <a:ext uri="{FF2B5EF4-FFF2-40B4-BE49-F238E27FC236}">
                  <a16:creationId xmlns:a16="http://schemas.microsoft.com/office/drawing/2014/main" id="{C40DDC1D-FB45-43C2-9962-38435861242A}"/>
                </a:ext>
              </a:extLst>
            </xdr:cNvPr>
            <xdr:cNvSpPr/>
          </xdr:nvSpPr>
          <xdr:spPr>
            <a:xfrm>
              <a:off x="1474839" y="2228645"/>
              <a:ext cx="3511296" cy="2084832"/>
            </a:xfrm>
            <a:prstGeom prst="roundRect">
              <a:avLst/>
            </a:prstGeom>
            <a:solidFill>
              <a:srgbClr val="8D1F17"/>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43" name="Chart 42">
              <a:extLst>
                <a:ext uri="{FF2B5EF4-FFF2-40B4-BE49-F238E27FC236}">
                  <a16:creationId xmlns:a16="http://schemas.microsoft.com/office/drawing/2014/main" id="{23CEBC62-C932-466A-9A76-89A6DE22DDBF}"/>
                </a:ext>
              </a:extLst>
            </xdr:cNvPr>
            <xdr:cNvGraphicFramePr>
              <a:graphicFrameLocks/>
            </xdr:cNvGraphicFramePr>
          </xdr:nvGraphicFramePr>
          <xdr:xfrm>
            <a:off x="1630517" y="2474450"/>
            <a:ext cx="3177540" cy="1761613"/>
          </xdr:xfrm>
          <a:graphic>
            <a:graphicData uri="http://schemas.openxmlformats.org/drawingml/2006/chart">
              <c:chart xmlns:c="http://schemas.openxmlformats.org/drawingml/2006/chart" xmlns:r="http://schemas.openxmlformats.org/officeDocument/2006/relationships" r:id="rId1"/>
            </a:graphicData>
          </a:graphic>
        </xdr:graphicFrame>
      </xdr:grpSp>
      <xdr:sp macro="" textlink="">
        <xdr:nvSpPr>
          <xdr:cNvPr id="48" name="TextBox 47">
            <a:extLst>
              <a:ext uri="{FF2B5EF4-FFF2-40B4-BE49-F238E27FC236}">
                <a16:creationId xmlns:a16="http://schemas.microsoft.com/office/drawing/2014/main" id="{F8E6979A-CC49-9290-492E-54235BE785BD}"/>
              </a:ext>
            </a:extLst>
          </xdr:cNvPr>
          <xdr:cNvSpPr txBox="1"/>
        </xdr:nvSpPr>
        <xdr:spPr>
          <a:xfrm>
            <a:off x="2277807" y="2179484"/>
            <a:ext cx="2154904" cy="3113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400" b="1">
                <a:solidFill>
                  <a:schemeClr val="bg1"/>
                </a:solidFill>
              </a:rPr>
              <a:t>ORDER VOLUME BY DAY</a:t>
            </a:r>
          </a:p>
        </xdr:txBody>
      </xdr:sp>
    </xdr:grpSp>
    <xdr:clientData/>
  </xdr:twoCellAnchor>
  <xdr:twoCellAnchor>
    <xdr:from>
      <xdr:col>8</xdr:col>
      <xdr:colOff>163871</xdr:colOff>
      <xdr:row>12</xdr:row>
      <xdr:rowOff>8193</xdr:rowOff>
    </xdr:from>
    <xdr:to>
      <xdr:col>14</xdr:col>
      <xdr:colOff>37232</xdr:colOff>
      <xdr:row>24</xdr:row>
      <xdr:rowOff>3669</xdr:rowOff>
    </xdr:to>
    <xdr:grpSp>
      <xdr:nvGrpSpPr>
        <xdr:cNvPr id="83" name="Group 82">
          <a:extLst>
            <a:ext uri="{FF2B5EF4-FFF2-40B4-BE49-F238E27FC236}">
              <a16:creationId xmlns:a16="http://schemas.microsoft.com/office/drawing/2014/main" id="{3C647BEF-8817-BA4B-3F1C-84C7C15D27A4}"/>
            </a:ext>
          </a:extLst>
        </xdr:cNvPr>
        <xdr:cNvGrpSpPr/>
      </xdr:nvGrpSpPr>
      <xdr:grpSpPr>
        <a:xfrm>
          <a:off x="5074538" y="2167193"/>
          <a:ext cx="3556361" cy="2154476"/>
          <a:chOff x="5014452" y="2171290"/>
          <a:chExt cx="3511296" cy="2158573"/>
        </a:xfrm>
      </xdr:grpSpPr>
      <xdr:sp macro="" textlink="">
        <xdr:nvSpPr>
          <xdr:cNvPr id="33" name="Rectangle: Rounded Corners 32">
            <a:extLst>
              <a:ext uri="{FF2B5EF4-FFF2-40B4-BE49-F238E27FC236}">
                <a16:creationId xmlns:a16="http://schemas.microsoft.com/office/drawing/2014/main" id="{AAD09E4A-4FF1-4E71-A219-FB48DF7C4F17}"/>
              </a:ext>
            </a:extLst>
          </xdr:cNvPr>
          <xdr:cNvSpPr/>
        </xdr:nvSpPr>
        <xdr:spPr>
          <a:xfrm>
            <a:off x="5014452" y="2245031"/>
            <a:ext cx="3511296" cy="2084832"/>
          </a:xfrm>
          <a:prstGeom prst="roundRect">
            <a:avLst/>
          </a:prstGeom>
          <a:solidFill>
            <a:srgbClr val="8D1F17"/>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47" name="Chart 46">
            <a:extLst>
              <a:ext uri="{FF2B5EF4-FFF2-40B4-BE49-F238E27FC236}">
                <a16:creationId xmlns:a16="http://schemas.microsoft.com/office/drawing/2014/main" id="{B5ED878D-A3CF-4073-8F97-ACD622D77462}"/>
              </a:ext>
            </a:extLst>
          </xdr:cNvPr>
          <xdr:cNvGraphicFramePr>
            <a:graphicFrameLocks/>
          </xdr:cNvGraphicFramePr>
        </xdr:nvGraphicFramePr>
        <xdr:xfrm>
          <a:off x="5063613" y="2425290"/>
          <a:ext cx="3326581" cy="1807823"/>
        </xdr:xfrm>
        <a:graphic>
          <a:graphicData uri="http://schemas.openxmlformats.org/drawingml/2006/chart">
            <c:chart xmlns:c="http://schemas.openxmlformats.org/drawingml/2006/chart" xmlns:r="http://schemas.openxmlformats.org/officeDocument/2006/relationships" r:id="rId2"/>
          </a:graphicData>
        </a:graphic>
      </xdr:graphicFrame>
      <xdr:sp macro="" textlink="">
        <xdr:nvSpPr>
          <xdr:cNvPr id="49" name="TextBox 48">
            <a:extLst>
              <a:ext uri="{FF2B5EF4-FFF2-40B4-BE49-F238E27FC236}">
                <a16:creationId xmlns:a16="http://schemas.microsoft.com/office/drawing/2014/main" id="{9B85E48D-481D-B110-E815-7A466D5058F7}"/>
              </a:ext>
            </a:extLst>
          </xdr:cNvPr>
          <xdr:cNvSpPr txBox="1"/>
        </xdr:nvSpPr>
        <xdr:spPr>
          <a:xfrm>
            <a:off x="5317613" y="2171290"/>
            <a:ext cx="2998839" cy="3359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400" b="1">
                <a:solidFill>
                  <a:schemeClr val="bg1"/>
                </a:solidFill>
              </a:rPr>
              <a:t>REVENUE &amp; PROFIT BY RESTAURANT</a:t>
            </a:r>
          </a:p>
        </xdr:txBody>
      </xdr:sp>
    </xdr:grpSp>
    <xdr:clientData/>
  </xdr:twoCellAnchor>
  <xdr:twoCellAnchor>
    <xdr:from>
      <xdr:col>14</xdr:col>
      <xdr:colOff>73741</xdr:colOff>
      <xdr:row>12</xdr:row>
      <xdr:rowOff>49162</xdr:rowOff>
    </xdr:from>
    <xdr:to>
      <xdr:col>19</xdr:col>
      <xdr:colOff>557161</xdr:colOff>
      <xdr:row>23</xdr:row>
      <xdr:rowOff>175737</xdr:rowOff>
    </xdr:to>
    <xdr:grpSp>
      <xdr:nvGrpSpPr>
        <xdr:cNvPr id="86" name="Group 85">
          <a:extLst>
            <a:ext uri="{FF2B5EF4-FFF2-40B4-BE49-F238E27FC236}">
              <a16:creationId xmlns:a16="http://schemas.microsoft.com/office/drawing/2014/main" id="{BA91F649-7120-968B-D858-160C6F37375D}"/>
            </a:ext>
          </a:extLst>
        </xdr:cNvPr>
        <xdr:cNvGrpSpPr/>
      </xdr:nvGrpSpPr>
      <xdr:grpSpPr>
        <a:xfrm>
          <a:off x="8667408" y="2208162"/>
          <a:ext cx="3552586" cy="2105658"/>
          <a:chOff x="8562257" y="2212259"/>
          <a:chExt cx="3515033" cy="2109413"/>
        </a:xfrm>
      </xdr:grpSpPr>
      <xdr:sp macro="" textlink="">
        <xdr:nvSpPr>
          <xdr:cNvPr id="15" name="Rectangle: Rounded Corners 14">
            <a:extLst>
              <a:ext uri="{FF2B5EF4-FFF2-40B4-BE49-F238E27FC236}">
                <a16:creationId xmlns:a16="http://schemas.microsoft.com/office/drawing/2014/main" id="{45C7A0CD-E953-4793-A661-A78742A7DC5E}"/>
              </a:ext>
            </a:extLst>
          </xdr:cNvPr>
          <xdr:cNvSpPr/>
        </xdr:nvSpPr>
        <xdr:spPr>
          <a:xfrm>
            <a:off x="8562257" y="2236840"/>
            <a:ext cx="3506839" cy="2084832"/>
          </a:xfrm>
          <a:prstGeom prst="roundRect">
            <a:avLst/>
          </a:prstGeom>
          <a:solidFill>
            <a:srgbClr val="8D1F17"/>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50" name="Chart 49">
            <a:extLst>
              <a:ext uri="{FF2B5EF4-FFF2-40B4-BE49-F238E27FC236}">
                <a16:creationId xmlns:a16="http://schemas.microsoft.com/office/drawing/2014/main" id="{06AEDD8D-787F-4BEA-909B-DD959989B920}"/>
              </a:ext>
            </a:extLst>
          </xdr:cNvPr>
          <xdr:cNvGraphicFramePr>
            <a:graphicFrameLocks/>
          </xdr:cNvGraphicFramePr>
        </xdr:nvGraphicFramePr>
        <xdr:xfrm>
          <a:off x="8685161" y="2458064"/>
          <a:ext cx="3392129" cy="1784025"/>
        </xdr:xfrm>
        <a:graphic>
          <a:graphicData uri="http://schemas.openxmlformats.org/drawingml/2006/chart">
            <c:chart xmlns:c="http://schemas.openxmlformats.org/drawingml/2006/chart" xmlns:r="http://schemas.openxmlformats.org/officeDocument/2006/relationships" r:id="rId3"/>
          </a:graphicData>
        </a:graphic>
      </xdr:graphicFrame>
      <xdr:sp macro="" textlink="">
        <xdr:nvSpPr>
          <xdr:cNvPr id="51" name="TextBox 50">
            <a:extLst>
              <a:ext uri="{FF2B5EF4-FFF2-40B4-BE49-F238E27FC236}">
                <a16:creationId xmlns:a16="http://schemas.microsoft.com/office/drawing/2014/main" id="{8C396466-A4A1-820D-3CF3-014463145E14}"/>
              </a:ext>
            </a:extLst>
          </xdr:cNvPr>
          <xdr:cNvSpPr txBox="1"/>
        </xdr:nvSpPr>
        <xdr:spPr>
          <a:xfrm>
            <a:off x="9275098" y="2212259"/>
            <a:ext cx="2351548" cy="2867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400" b="1">
                <a:solidFill>
                  <a:schemeClr val="bg1"/>
                </a:solidFill>
              </a:rPr>
              <a:t>COOKIES SHIPPED BY PROFIT</a:t>
            </a:r>
          </a:p>
        </xdr:txBody>
      </xdr:sp>
    </xdr:grpSp>
    <xdr:clientData/>
  </xdr:twoCellAnchor>
  <xdr:twoCellAnchor editAs="oneCell">
    <xdr:from>
      <xdr:col>2</xdr:col>
      <xdr:colOff>279729</xdr:colOff>
      <xdr:row>3</xdr:row>
      <xdr:rowOff>128649</xdr:rowOff>
    </xdr:from>
    <xdr:to>
      <xdr:col>9</xdr:col>
      <xdr:colOff>90129</xdr:colOff>
      <xdr:row>6</xdr:row>
      <xdr:rowOff>168233</xdr:rowOff>
    </xdr:to>
    <mc:AlternateContent xmlns:mc="http://schemas.openxmlformats.org/markup-compatibility/2006" xmlns:a14="http://schemas.microsoft.com/office/drawing/2010/main">
      <mc:Choice Requires="a14">
        <xdr:graphicFrame macro="">
          <xdr:nvGraphicFramePr>
            <xdr:cNvPr id="52" name="RestaurantName 1">
              <a:extLst>
                <a:ext uri="{FF2B5EF4-FFF2-40B4-BE49-F238E27FC236}">
                  <a16:creationId xmlns:a16="http://schemas.microsoft.com/office/drawing/2014/main" id="{DE15DC8E-53E3-6DF0-039A-F58C2861F2B6}"/>
                </a:ext>
              </a:extLst>
            </xdr:cNvPr>
            <xdr:cNvGraphicFramePr/>
          </xdr:nvGraphicFramePr>
          <xdr:xfrm>
            <a:off x="0" y="0"/>
            <a:ext cx="0" cy="0"/>
          </xdr:xfrm>
          <a:graphic>
            <a:graphicData uri="http://schemas.microsoft.com/office/drawing/2010/slicer">
              <sle:slicer xmlns:sle="http://schemas.microsoft.com/office/drawing/2010/slicer" name="RestaurantName 1"/>
            </a:graphicData>
          </a:graphic>
        </xdr:graphicFrame>
      </mc:Choice>
      <mc:Fallback xmlns="">
        <xdr:sp macro="" textlink="">
          <xdr:nvSpPr>
            <xdr:cNvPr id="0" name=""/>
            <xdr:cNvSpPr>
              <a:spLocks noTextEdit="1"/>
            </xdr:cNvSpPr>
          </xdr:nvSpPr>
          <xdr:spPr>
            <a:xfrm>
              <a:off x="1495850" y="682831"/>
              <a:ext cx="4066824" cy="59376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262193</xdr:colOff>
      <xdr:row>23</xdr:row>
      <xdr:rowOff>172065</xdr:rowOff>
    </xdr:from>
    <xdr:to>
      <xdr:col>8</xdr:col>
      <xdr:colOff>135553</xdr:colOff>
      <xdr:row>35</xdr:row>
      <xdr:rowOff>134768</xdr:rowOff>
    </xdr:to>
    <xdr:grpSp>
      <xdr:nvGrpSpPr>
        <xdr:cNvPr id="93" name="Group 92">
          <a:extLst>
            <a:ext uri="{FF2B5EF4-FFF2-40B4-BE49-F238E27FC236}">
              <a16:creationId xmlns:a16="http://schemas.microsoft.com/office/drawing/2014/main" id="{AA0CDECA-903B-ED1E-D180-560FE32A973D}"/>
            </a:ext>
          </a:extLst>
        </xdr:cNvPr>
        <xdr:cNvGrpSpPr/>
      </xdr:nvGrpSpPr>
      <xdr:grpSpPr>
        <a:xfrm>
          <a:off x="1489860" y="4310148"/>
          <a:ext cx="3556360" cy="2121703"/>
          <a:chOff x="1474838" y="4318000"/>
          <a:chExt cx="3511296" cy="2125800"/>
        </a:xfrm>
      </xdr:grpSpPr>
      <xdr:sp macro="" textlink="">
        <xdr:nvSpPr>
          <xdr:cNvPr id="34" name="Rectangle: Rounded Corners 33">
            <a:extLst>
              <a:ext uri="{FF2B5EF4-FFF2-40B4-BE49-F238E27FC236}">
                <a16:creationId xmlns:a16="http://schemas.microsoft.com/office/drawing/2014/main" id="{CB7E482E-C59D-4320-9945-5A75F231F555}"/>
              </a:ext>
            </a:extLst>
          </xdr:cNvPr>
          <xdr:cNvSpPr/>
        </xdr:nvSpPr>
        <xdr:spPr>
          <a:xfrm>
            <a:off x="1474838" y="4358968"/>
            <a:ext cx="3511296" cy="2084832"/>
          </a:xfrm>
          <a:prstGeom prst="roundRect">
            <a:avLst/>
          </a:prstGeom>
          <a:solidFill>
            <a:srgbClr val="8D1F17"/>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55" name="Chart 54">
            <a:extLst>
              <a:ext uri="{FF2B5EF4-FFF2-40B4-BE49-F238E27FC236}">
                <a16:creationId xmlns:a16="http://schemas.microsoft.com/office/drawing/2014/main" id="{904785D2-0D69-479C-88F2-328B14BFA2B9}"/>
              </a:ext>
            </a:extLst>
          </xdr:cNvPr>
          <xdr:cNvGraphicFramePr>
            <a:graphicFrameLocks/>
          </xdr:cNvGraphicFramePr>
        </xdr:nvGraphicFramePr>
        <xdr:xfrm>
          <a:off x="1605934" y="4572000"/>
          <a:ext cx="3299460" cy="1793731"/>
        </xdr:xfrm>
        <a:graphic>
          <a:graphicData uri="http://schemas.openxmlformats.org/drawingml/2006/chart">
            <c:chart xmlns:c="http://schemas.openxmlformats.org/drawingml/2006/chart" xmlns:r="http://schemas.openxmlformats.org/officeDocument/2006/relationships" r:id="rId4"/>
          </a:graphicData>
        </a:graphic>
      </xdr:graphicFrame>
      <xdr:sp macro="" textlink="">
        <xdr:nvSpPr>
          <xdr:cNvPr id="56" name="TextBox 55">
            <a:extLst>
              <a:ext uri="{FF2B5EF4-FFF2-40B4-BE49-F238E27FC236}">
                <a16:creationId xmlns:a16="http://schemas.microsoft.com/office/drawing/2014/main" id="{B4787617-9B49-AB08-E030-F1EBFEBC68D3}"/>
              </a:ext>
            </a:extLst>
          </xdr:cNvPr>
          <xdr:cNvSpPr txBox="1"/>
        </xdr:nvSpPr>
        <xdr:spPr>
          <a:xfrm>
            <a:off x="2646516" y="4318000"/>
            <a:ext cx="1589549" cy="2867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400" b="1">
                <a:solidFill>
                  <a:schemeClr val="bg1"/>
                </a:solidFill>
              </a:rPr>
              <a:t>REVENUE BY WEEK</a:t>
            </a:r>
          </a:p>
        </xdr:txBody>
      </xdr:sp>
    </xdr:grpSp>
    <xdr:clientData/>
  </xdr:twoCellAnchor>
  <xdr:twoCellAnchor>
    <xdr:from>
      <xdr:col>8</xdr:col>
      <xdr:colOff>163870</xdr:colOff>
      <xdr:row>24</xdr:row>
      <xdr:rowOff>24580</xdr:rowOff>
    </xdr:from>
    <xdr:to>
      <xdr:col>14</xdr:col>
      <xdr:colOff>37231</xdr:colOff>
      <xdr:row>35</xdr:row>
      <xdr:rowOff>142961</xdr:rowOff>
    </xdr:to>
    <xdr:grpSp>
      <xdr:nvGrpSpPr>
        <xdr:cNvPr id="94" name="Group 93">
          <a:extLst>
            <a:ext uri="{FF2B5EF4-FFF2-40B4-BE49-F238E27FC236}">
              <a16:creationId xmlns:a16="http://schemas.microsoft.com/office/drawing/2014/main" id="{A3D4A4CA-DA46-449A-33C8-FF0B56A28801}"/>
            </a:ext>
          </a:extLst>
        </xdr:cNvPr>
        <xdr:cNvGrpSpPr/>
      </xdr:nvGrpSpPr>
      <xdr:grpSpPr>
        <a:xfrm>
          <a:off x="5074537" y="4342580"/>
          <a:ext cx="3556361" cy="2097464"/>
          <a:chOff x="5014451" y="4350774"/>
          <a:chExt cx="3511296" cy="2101219"/>
        </a:xfrm>
      </xdr:grpSpPr>
      <xdr:sp macro="" textlink="">
        <xdr:nvSpPr>
          <xdr:cNvPr id="35" name="Rectangle: Rounded Corners 34">
            <a:extLst>
              <a:ext uri="{FF2B5EF4-FFF2-40B4-BE49-F238E27FC236}">
                <a16:creationId xmlns:a16="http://schemas.microsoft.com/office/drawing/2014/main" id="{7248152E-53BB-4267-A437-1BA98CFC4358}"/>
              </a:ext>
            </a:extLst>
          </xdr:cNvPr>
          <xdr:cNvSpPr/>
        </xdr:nvSpPr>
        <xdr:spPr>
          <a:xfrm>
            <a:off x="5014451" y="4367161"/>
            <a:ext cx="3511296" cy="2084832"/>
          </a:xfrm>
          <a:prstGeom prst="roundRect">
            <a:avLst/>
          </a:prstGeom>
          <a:solidFill>
            <a:srgbClr val="8D1F17"/>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57" name="Chart 56">
            <a:extLst>
              <a:ext uri="{FF2B5EF4-FFF2-40B4-BE49-F238E27FC236}">
                <a16:creationId xmlns:a16="http://schemas.microsoft.com/office/drawing/2014/main" id="{2DCCF055-07CC-4F7D-8063-7F013BE930AD}"/>
              </a:ext>
            </a:extLst>
          </xdr:cNvPr>
          <xdr:cNvGraphicFramePr>
            <a:graphicFrameLocks/>
          </xdr:cNvGraphicFramePr>
        </xdr:nvGraphicFramePr>
        <xdr:xfrm>
          <a:off x="5145548" y="4694903"/>
          <a:ext cx="3269226" cy="1709664"/>
        </xdr:xfrm>
        <a:graphic>
          <a:graphicData uri="http://schemas.openxmlformats.org/drawingml/2006/chart">
            <c:chart xmlns:c="http://schemas.openxmlformats.org/drawingml/2006/chart" xmlns:r="http://schemas.openxmlformats.org/officeDocument/2006/relationships" r:id="rId5"/>
          </a:graphicData>
        </a:graphic>
      </xdr:graphicFrame>
      <xdr:sp macro="" textlink="">
        <xdr:nvSpPr>
          <xdr:cNvPr id="58" name="TextBox 57">
            <a:extLst>
              <a:ext uri="{FF2B5EF4-FFF2-40B4-BE49-F238E27FC236}">
                <a16:creationId xmlns:a16="http://schemas.microsoft.com/office/drawing/2014/main" id="{24430151-7010-B4FB-BB6D-81318F7C8357}"/>
              </a:ext>
            </a:extLst>
          </xdr:cNvPr>
          <xdr:cNvSpPr txBox="1"/>
        </xdr:nvSpPr>
        <xdr:spPr>
          <a:xfrm>
            <a:off x="6087806" y="4350774"/>
            <a:ext cx="1450259" cy="26219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400" b="1">
                <a:solidFill>
                  <a:schemeClr val="bg1"/>
                </a:solidFill>
              </a:rPr>
              <a:t>PROFIT BY WEEK</a:t>
            </a:r>
          </a:p>
        </xdr:txBody>
      </xdr:sp>
    </xdr:grpSp>
    <xdr:clientData/>
  </xdr:twoCellAnchor>
  <xdr:twoCellAnchor>
    <xdr:from>
      <xdr:col>14</xdr:col>
      <xdr:colOff>65549</xdr:colOff>
      <xdr:row>24</xdr:row>
      <xdr:rowOff>0</xdr:rowOff>
    </xdr:from>
    <xdr:to>
      <xdr:col>19</xdr:col>
      <xdr:colOff>545232</xdr:colOff>
      <xdr:row>35</xdr:row>
      <xdr:rowOff>134767</xdr:rowOff>
    </xdr:to>
    <xdr:grpSp>
      <xdr:nvGrpSpPr>
        <xdr:cNvPr id="95" name="Group 94">
          <a:extLst>
            <a:ext uri="{FF2B5EF4-FFF2-40B4-BE49-F238E27FC236}">
              <a16:creationId xmlns:a16="http://schemas.microsoft.com/office/drawing/2014/main" id="{131FA9CF-F1F3-47B3-D751-44601272BE9B}"/>
            </a:ext>
          </a:extLst>
        </xdr:cNvPr>
        <xdr:cNvGrpSpPr/>
      </xdr:nvGrpSpPr>
      <xdr:grpSpPr>
        <a:xfrm>
          <a:off x="8659216" y="4318000"/>
          <a:ext cx="3548849" cy="2113850"/>
          <a:chOff x="8554065" y="4326194"/>
          <a:chExt cx="3511296" cy="2117605"/>
        </a:xfrm>
      </xdr:grpSpPr>
      <xdr:sp macro="" textlink="">
        <xdr:nvSpPr>
          <xdr:cNvPr id="36" name="Rectangle: Rounded Corners 35">
            <a:extLst>
              <a:ext uri="{FF2B5EF4-FFF2-40B4-BE49-F238E27FC236}">
                <a16:creationId xmlns:a16="http://schemas.microsoft.com/office/drawing/2014/main" id="{464659B3-6D9F-473B-BBB0-09E6D88298B6}"/>
              </a:ext>
            </a:extLst>
          </xdr:cNvPr>
          <xdr:cNvSpPr/>
        </xdr:nvSpPr>
        <xdr:spPr>
          <a:xfrm>
            <a:off x="8554065" y="4358967"/>
            <a:ext cx="3511296" cy="2084832"/>
          </a:xfrm>
          <a:prstGeom prst="roundRect">
            <a:avLst/>
          </a:prstGeom>
          <a:solidFill>
            <a:srgbClr val="8D1F17"/>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59" name="Chart 58">
            <a:extLst>
              <a:ext uri="{FF2B5EF4-FFF2-40B4-BE49-F238E27FC236}">
                <a16:creationId xmlns:a16="http://schemas.microsoft.com/office/drawing/2014/main" id="{619EF1CC-E5F1-4599-84E4-4BAF248DE594}"/>
              </a:ext>
            </a:extLst>
          </xdr:cNvPr>
          <xdr:cNvGraphicFramePr>
            <a:graphicFrameLocks/>
          </xdr:cNvGraphicFramePr>
        </xdr:nvGraphicFramePr>
        <xdr:xfrm>
          <a:off x="8676968" y="4670322"/>
          <a:ext cx="3277419" cy="1696065"/>
        </xdr:xfrm>
        <a:graphic>
          <a:graphicData uri="http://schemas.openxmlformats.org/drawingml/2006/chart">
            <c:chart xmlns:c="http://schemas.openxmlformats.org/drawingml/2006/chart" xmlns:r="http://schemas.openxmlformats.org/officeDocument/2006/relationships" r:id="rId6"/>
          </a:graphicData>
        </a:graphic>
      </xdr:graphicFrame>
      <xdr:sp macro="" textlink="">
        <xdr:nvSpPr>
          <xdr:cNvPr id="61" name="TextBox 60">
            <a:extLst>
              <a:ext uri="{FF2B5EF4-FFF2-40B4-BE49-F238E27FC236}">
                <a16:creationId xmlns:a16="http://schemas.microsoft.com/office/drawing/2014/main" id="{A78F7412-920A-1DFE-E270-F5ED1F6B3152}"/>
              </a:ext>
            </a:extLst>
          </xdr:cNvPr>
          <xdr:cNvSpPr txBox="1"/>
        </xdr:nvSpPr>
        <xdr:spPr>
          <a:xfrm>
            <a:off x="9135806" y="4326194"/>
            <a:ext cx="2703871" cy="33593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400" b="1">
                <a:solidFill>
                  <a:schemeClr val="bg1"/>
                </a:solidFill>
              </a:rPr>
              <a:t>ORDER STATUS BREAKDOWN</a:t>
            </a:r>
          </a:p>
        </xdr:txBody>
      </xdr:sp>
    </xdr:grpSp>
    <xdr:clientData/>
  </xdr:twoCellAnchor>
  <xdr:twoCellAnchor editAs="oneCell">
    <xdr:from>
      <xdr:col>9</xdr:col>
      <xdr:colOff>137034</xdr:colOff>
      <xdr:row>3</xdr:row>
      <xdr:rowOff>138545</xdr:rowOff>
    </xdr:from>
    <xdr:to>
      <xdr:col>13</xdr:col>
      <xdr:colOff>258789</xdr:colOff>
      <xdr:row>7</xdr:row>
      <xdr:rowOff>1</xdr:rowOff>
    </xdr:to>
    <mc:AlternateContent xmlns:mc="http://schemas.openxmlformats.org/markup-compatibility/2006" xmlns:a14="http://schemas.microsoft.com/office/drawing/2010/main">
      <mc:Choice Requires="a14">
        <xdr:graphicFrame macro="">
          <xdr:nvGraphicFramePr>
            <xdr:cNvPr id="62" name="OrderStatus 1">
              <a:extLst>
                <a:ext uri="{FF2B5EF4-FFF2-40B4-BE49-F238E27FC236}">
                  <a16:creationId xmlns:a16="http://schemas.microsoft.com/office/drawing/2014/main" id="{A1214716-1E7B-F961-3AF3-C008276196AD}"/>
                </a:ext>
              </a:extLst>
            </xdr:cNvPr>
            <xdr:cNvGraphicFramePr/>
          </xdr:nvGraphicFramePr>
          <xdr:xfrm>
            <a:off x="0" y="0"/>
            <a:ext cx="0" cy="0"/>
          </xdr:xfrm>
          <a:graphic>
            <a:graphicData uri="http://schemas.microsoft.com/office/drawing/2010/slicer">
              <sle:slicer xmlns:sle="http://schemas.microsoft.com/office/drawing/2010/slicer" name="OrderStatus 1"/>
            </a:graphicData>
          </a:graphic>
        </xdr:graphicFrame>
      </mc:Choice>
      <mc:Fallback xmlns="">
        <xdr:sp macro="" textlink="">
          <xdr:nvSpPr>
            <xdr:cNvPr id="0" name=""/>
            <xdr:cNvSpPr>
              <a:spLocks noTextEdit="1"/>
            </xdr:cNvSpPr>
          </xdr:nvSpPr>
          <xdr:spPr>
            <a:xfrm>
              <a:off x="5609579" y="692727"/>
              <a:ext cx="2553998" cy="60036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332531</xdr:colOff>
      <xdr:row>3</xdr:row>
      <xdr:rowOff>128649</xdr:rowOff>
    </xdr:from>
    <xdr:to>
      <xdr:col>19</xdr:col>
      <xdr:colOff>570144</xdr:colOff>
      <xdr:row>6</xdr:row>
      <xdr:rowOff>172384</xdr:rowOff>
    </xdr:to>
    <mc:AlternateContent xmlns:mc="http://schemas.openxmlformats.org/markup-compatibility/2006" xmlns:a14="http://schemas.microsoft.com/office/drawing/2010/main">
      <mc:Choice Requires="a14">
        <xdr:graphicFrame macro="">
          <xdr:nvGraphicFramePr>
            <xdr:cNvPr id="63" name="City 1">
              <a:extLst>
                <a:ext uri="{FF2B5EF4-FFF2-40B4-BE49-F238E27FC236}">
                  <a16:creationId xmlns:a16="http://schemas.microsoft.com/office/drawing/2014/main" id="{B699D2B2-A0C0-25DB-88E4-27D51F4EBE33}"/>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8237319" y="682831"/>
              <a:ext cx="3885977" cy="59791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325282</xdr:colOff>
      <xdr:row>1</xdr:row>
      <xdr:rowOff>8194</xdr:rowOff>
    </xdr:from>
    <xdr:to>
      <xdr:col>2</xdr:col>
      <xdr:colOff>27037</xdr:colOff>
      <xdr:row>6</xdr:row>
      <xdr:rowOff>21304</xdr:rowOff>
    </xdr:to>
    <xdr:pic>
      <xdr:nvPicPr>
        <xdr:cNvPr id="65" name="Graphic 64" descr="Document with solid fill">
          <a:extLst>
            <a:ext uri="{FF2B5EF4-FFF2-40B4-BE49-F238E27FC236}">
              <a16:creationId xmlns:a16="http://schemas.microsoft.com/office/drawing/2014/main" id="{C2AB41D3-3FFC-11CA-ED05-2A536CC2804C}"/>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325282" y="188452"/>
          <a:ext cx="914400" cy="914400"/>
        </a:xfrm>
        <a:prstGeom prst="rect">
          <a:avLst/>
        </a:prstGeom>
      </xdr:spPr>
    </xdr:pic>
    <xdr:clientData/>
  </xdr:twoCellAnchor>
  <xdr:twoCellAnchor>
    <xdr:from>
      <xdr:col>0</xdr:col>
      <xdr:colOff>278581</xdr:colOff>
      <xdr:row>2</xdr:row>
      <xdr:rowOff>81935</xdr:rowOff>
    </xdr:from>
    <xdr:to>
      <xdr:col>2</xdr:col>
      <xdr:colOff>106515</xdr:colOff>
      <xdr:row>4</xdr:row>
      <xdr:rowOff>122902</xdr:rowOff>
    </xdr:to>
    <xdr:sp macro="" textlink="">
      <xdr:nvSpPr>
        <xdr:cNvPr id="71" name="TextBox 70">
          <a:hlinkClick xmlns:r="http://schemas.openxmlformats.org/officeDocument/2006/relationships" r:id="rId9"/>
          <a:extLst>
            <a:ext uri="{FF2B5EF4-FFF2-40B4-BE49-F238E27FC236}">
              <a16:creationId xmlns:a16="http://schemas.microsoft.com/office/drawing/2014/main" id="{259169E7-839C-F2D2-D30A-F49172DEC772}"/>
            </a:ext>
          </a:extLst>
        </xdr:cNvPr>
        <xdr:cNvSpPr txBox="1"/>
      </xdr:nvSpPr>
      <xdr:spPr>
        <a:xfrm>
          <a:off x="278581" y="442451"/>
          <a:ext cx="1040579" cy="4014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400" b="1">
              <a:solidFill>
                <a:schemeClr val="bg1"/>
              </a:solidFill>
            </a:rPr>
            <a:t>RAW DATA</a:t>
          </a:r>
        </a:p>
      </xdr:txBody>
    </xdr:sp>
    <xdr:clientData/>
  </xdr:twoCellAnchor>
  <xdr:twoCellAnchor editAs="oneCell">
    <xdr:from>
      <xdr:col>0</xdr:col>
      <xdr:colOff>262194</xdr:colOff>
      <xdr:row>6</xdr:row>
      <xdr:rowOff>139291</xdr:rowOff>
    </xdr:from>
    <xdr:to>
      <xdr:col>1</xdr:col>
      <xdr:colOff>570271</xdr:colOff>
      <xdr:row>11</xdr:row>
      <xdr:rowOff>152400</xdr:rowOff>
    </xdr:to>
    <xdr:pic>
      <xdr:nvPicPr>
        <xdr:cNvPr id="74" name="Graphic 73" descr="Presentation with bar chart with solid fill">
          <a:extLst>
            <a:ext uri="{FF2B5EF4-FFF2-40B4-BE49-F238E27FC236}">
              <a16:creationId xmlns:a16="http://schemas.microsoft.com/office/drawing/2014/main" id="{3C25DAC9-AFD8-A41E-D4ED-8769025AB8DD}"/>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262194" y="1220839"/>
          <a:ext cx="914400" cy="914400"/>
        </a:xfrm>
        <a:prstGeom prst="rect">
          <a:avLst/>
        </a:prstGeom>
      </xdr:spPr>
    </xdr:pic>
    <xdr:clientData/>
  </xdr:twoCellAnchor>
  <xdr:oneCellAnchor>
    <xdr:from>
      <xdr:col>0</xdr:col>
      <xdr:colOff>180258</xdr:colOff>
      <xdr:row>7</xdr:row>
      <xdr:rowOff>163871</xdr:rowOff>
    </xdr:from>
    <xdr:ext cx="1163484" cy="458839"/>
    <xdr:sp macro="" textlink="">
      <xdr:nvSpPr>
        <xdr:cNvPr id="75" name="TextBox 74">
          <a:hlinkClick xmlns:r="http://schemas.openxmlformats.org/officeDocument/2006/relationships" r:id="rId12"/>
          <a:extLst>
            <a:ext uri="{FF2B5EF4-FFF2-40B4-BE49-F238E27FC236}">
              <a16:creationId xmlns:a16="http://schemas.microsoft.com/office/drawing/2014/main" id="{C8117AEC-A5C1-C4FF-E67A-562558C038AB}"/>
            </a:ext>
          </a:extLst>
        </xdr:cNvPr>
        <xdr:cNvSpPr txBox="1"/>
      </xdr:nvSpPr>
      <xdr:spPr>
        <a:xfrm>
          <a:off x="180258" y="1425677"/>
          <a:ext cx="1163484" cy="4588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400" b="1">
              <a:solidFill>
                <a:schemeClr val="bg1"/>
              </a:solidFill>
            </a:rPr>
            <a:t>PIVOT TABLE</a:t>
          </a:r>
        </a:p>
      </xdr:txBody>
    </xdr:sp>
    <xdr:clientData/>
  </xdr:oneCellAnchor>
  <xdr:twoCellAnchor editAs="oneCell">
    <xdr:from>
      <xdr:col>0</xdr:col>
      <xdr:colOff>278581</xdr:colOff>
      <xdr:row>12</xdr:row>
      <xdr:rowOff>122903</xdr:rowOff>
    </xdr:from>
    <xdr:to>
      <xdr:col>1</xdr:col>
      <xdr:colOff>524388</xdr:colOff>
      <xdr:row>17</xdr:row>
      <xdr:rowOff>73743</xdr:rowOff>
    </xdr:to>
    <xdr:pic>
      <xdr:nvPicPr>
        <xdr:cNvPr id="77" name="Picture 76">
          <a:extLst>
            <a:ext uri="{FF2B5EF4-FFF2-40B4-BE49-F238E27FC236}">
              <a16:creationId xmlns:a16="http://schemas.microsoft.com/office/drawing/2014/main" id="{FDE7B67F-D120-4804-9BAF-70FC80E13405}"/>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278581" y="2286000"/>
          <a:ext cx="852130" cy="852130"/>
        </a:xfrm>
        <a:prstGeom prst="rect">
          <a:avLst/>
        </a:prstGeom>
      </xdr:spPr>
    </xdr:pic>
    <xdr:clientData/>
  </xdr:twoCellAnchor>
  <xdr:oneCellAnchor>
    <xdr:from>
      <xdr:col>0</xdr:col>
      <xdr:colOff>286774</xdr:colOff>
      <xdr:row>13</xdr:row>
      <xdr:rowOff>172064</xdr:rowOff>
    </xdr:from>
    <xdr:ext cx="893098" cy="417871"/>
    <xdr:sp macro="" textlink="">
      <xdr:nvSpPr>
        <xdr:cNvPr id="78" name="TextBox 77">
          <a:extLst>
            <a:ext uri="{FF2B5EF4-FFF2-40B4-BE49-F238E27FC236}">
              <a16:creationId xmlns:a16="http://schemas.microsoft.com/office/drawing/2014/main" id="{C5646A04-E760-DC81-3EA9-BC6A23D65E20}"/>
            </a:ext>
          </a:extLst>
        </xdr:cNvPr>
        <xdr:cNvSpPr txBox="1"/>
      </xdr:nvSpPr>
      <xdr:spPr>
        <a:xfrm>
          <a:off x="286774" y="2515419"/>
          <a:ext cx="893098" cy="417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400" b="1">
              <a:solidFill>
                <a:schemeClr val="bg1"/>
              </a:solidFill>
            </a:rPr>
            <a:t>COOKIES</a:t>
          </a:r>
        </a:p>
      </xdr:txBody>
    </xdr:sp>
    <xdr:clientData/>
  </xdr:oneCellAnchor>
  <xdr:twoCellAnchor>
    <xdr:from>
      <xdr:col>4</xdr:col>
      <xdr:colOff>286776</xdr:colOff>
      <xdr:row>0</xdr:row>
      <xdr:rowOff>40969</xdr:rowOff>
    </xdr:from>
    <xdr:to>
      <xdr:col>18</xdr:col>
      <xdr:colOff>286776</xdr:colOff>
      <xdr:row>3</xdr:row>
      <xdr:rowOff>49480</xdr:rowOff>
    </xdr:to>
    <xdr:grpSp>
      <xdr:nvGrpSpPr>
        <xdr:cNvPr id="81" name="Group 80">
          <a:extLst>
            <a:ext uri="{FF2B5EF4-FFF2-40B4-BE49-F238E27FC236}">
              <a16:creationId xmlns:a16="http://schemas.microsoft.com/office/drawing/2014/main" id="{C70190E4-B7F4-25C7-70B4-594687B42FB6}"/>
            </a:ext>
          </a:extLst>
        </xdr:cNvPr>
        <xdr:cNvGrpSpPr/>
      </xdr:nvGrpSpPr>
      <xdr:grpSpPr>
        <a:xfrm>
          <a:off x="2742109" y="40969"/>
          <a:ext cx="8593667" cy="548261"/>
          <a:chOff x="2712066" y="40969"/>
          <a:chExt cx="8488516" cy="622708"/>
        </a:xfrm>
      </xdr:grpSpPr>
      <xdr:sp macro="" textlink="">
        <xdr:nvSpPr>
          <xdr:cNvPr id="2" name="TextBox 1">
            <a:extLst>
              <a:ext uri="{FF2B5EF4-FFF2-40B4-BE49-F238E27FC236}">
                <a16:creationId xmlns:a16="http://schemas.microsoft.com/office/drawing/2014/main" id="{B908DC0A-0D97-4901-4EB3-8B2B21BCD8CB}"/>
              </a:ext>
            </a:extLst>
          </xdr:cNvPr>
          <xdr:cNvSpPr txBox="1"/>
        </xdr:nvSpPr>
        <xdr:spPr>
          <a:xfrm>
            <a:off x="2712066" y="40969"/>
            <a:ext cx="8488516" cy="622708"/>
          </a:xfrm>
          <a:prstGeom prst="rect">
            <a:avLst/>
          </a:prstGeom>
          <a:solidFill>
            <a:srgbClr val="8D1F17"/>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3200">
                <a:solidFill>
                  <a:schemeClr val="bg1"/>
                </a:solidFill>
              </a:rPr>
              <a:t>CITYBITES PERFORMANCE</a:t>
            </a:r>
            <a:r>
              <a:rPr lang="en-US" sz="3200" baseline="0">
                <a:solidFill>
                  <a:schemeClr val="bg1"/>
                </a:solidFill>
              </a:rPr>
              <a:t> DASHBOARD</a:t>
            </a:r>
            <a:endParaRPr lang="en-US" sz="3200">
              <a:solidFill>
                <a:schemeClr val="bg1"/>
              </a:solidFill>
            </a:endParaRPr>
          </a:p>
        </xdr:txBody>
      </xdr:sp>
      <xdr:pic>
        <xdr:nvPicPr>
          <xdr:cNvPr id="80" name="Picture 79">
            <a:extLst>
              <a:ext uri="{FF2B5EF4-FFF2-40B4-BE49-F238E27FC236}">
                <a16:creationId xmlns:a16="http://schemas.microsoft.com/office/drawing/2014/main" id="{8B8D91BB-86CD-FBBF-8E0C-8839AAEB4B24}"/>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a:xfrm>
            <a:off x="10438581" y="90129"/>
            <a:ext cx="658764" cy="491613"/>
          </a:xfrm>
          <a:prstGeom prst="rect">
            <a:avLst/>
          </a:prstGeom>
          <a:solidFill>
            <a:srgbClr val="8D1F17"/>
          </a:solidFill>
        </xdr:spPr>
      </xdr:pic>
    </xdr:grpSp>
    <xdr:clientData/>
  </xdr:twoCellAnchor>
  <xdr:twoCellAnchor editAs="oneCell">
    <xdr:from>
      <xdr:col>0</xdr:col>
      <xdr:colOff>155677</xdr:colOff>
      <xdr:row>19</xdr:row>
      <xdr:rowOff>32775</xdr:rowOff>
    </xdr:from>
    <xdr:to>
      <xdr:col>2</xdr:col>
      <xdr:colOff>73741</xdr:colOff>
      <xdr:row>24</xdr:row>
      <xdr:rowOff>24581</xdr:rowOff>
    </xdr:to>
    <xdr:pic>
      <xdr:nvPicPr>
        <xdr:cNvPr id="97" name="Picture 96">
          <a:extLst>
            <a:ext uri="{FF2B5EF4-FFF2-40B4-BE49-F238E27FC236}">
              <a16:creationId xmlns:a16="http://schemas.microsoft.com/office/drawing/2014/main" id="{C1248BE1-1814-C959-2F81-675CB0A6AFF7}"/>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Lst>
        </a:blip>
        <a:stretch>
          <a:fillRect/>
        </a:stretch>
      </xdr:blipFill>
      <xdr:spPr>
        <a:xfrm>
          <a:off x="155677" y="3457678"/>
          <a:ext cx="1130709" cy="893097"/>
        </a:xfrm>
        <a:prstGeom prst="rect">
          <a:avLst/>
        </a:prstGeom>
        <a:gradFill>
          <a:gsLst>
            <a:gs pos="35000">
              <a:srgbClr val="E38B75"/>
            </a:gs>
            <a:gs pos="57000">
              <a:srgbClr val="D27D56"/>
            </a:gs>
          </a:gsLst>
          <a:lin ang="5400000" scaled="1"/>
        </a:gradFill>
      </xdr:spPr>
    </xdr:pic>
    <xdr:clientData/>
  </xdr:twoCellAnchor>
  <xdr:oneCellAnchor>
    <xdr:from>
      <xdr:col>0</xdr:col>
      <xdr:colOff>122903</xdr:colOff>
      <xdr:row>21</xdr:row>
      <xdr:rowOff>73742</xdr:rowOff>
    </xdr:from>
    <xdr:ext cx="1220839" cy="303162"/>
    <xdr:sp macro="" textlink="">
      <xdr:nvSpPr>
        <xdr:cNvPr id="99" name="TextBox 98">
          <a:extLst>
            <a:ext uri="{FF2B5EF4-FFF2-40B4-BE49-F238E27FC236}">
              <a16:creationId xmlns:a16="http://schemas.microsoft.com/office/drawing/2014/main" id="{8D68CC43-FCF4-39CA-9A47-ABD126F0EA84}"/>
            </a:ext>
          </a:extLst>
        </xdr:cNvPr>
        <xdr:cNvSpPr txBox="1"/>
      </xdr:nvSpPr>
      <xdr:spPr>
        <a:xfrm>
          <a:off x="122903" y="3859161"/>
          <a:ext cx="1220839" cy="30316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400" b="1">
              <a:solidFill>
                <a:schemeClr val="bg1"/>
              </a:solidFill>
            </a:rPr>
            <a:t>RESTAURANT</a:t>
          </a:r>
        </a:p>
      </xdr:txBody>
    </xdr:sp>
    <xdr:clientData/>
  </xdr:one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02.932601388886" backgroundQuery="1" createdVersion="8" refreshedVersion="8" minRefreshableVersion="3" recordCount="0" supportSubquery="1" supportAdvancedDrill="1" xr:uid="{ED53F0B6-EB79-40DC-9716-7926AC73D9BD}">
  <cacheSource type="external" connectionId="1"/>
  <cacheFields count="4">
    <cacheField name="[Table1].[RestaurantName].[RestaurantName]" caption="RestaurantName" numFmtId="0" hierarchy="2" level="1">
      <sharedItems count="5">
        <s v="Burger Town"/>
        <s v="Pasta Place"/>
        <s v="Pizza Palace"/>
        <s v="Sushi World"/>
        <s v="Taco Land"/>
      </sharedItems>
    </cacheField>
    <cacheField name="[Measures].[Sum of CookiesShipped]" caption="Sum of CookiesShipped" numFmtId="0" hierarchy="28" level="32767"/>
    <cacheField name="[Measures].[Sum of New Profit]" caption="Sum of New Profit" numFmtId="0" hierarchy="27" level="32767"/>
    <cacheField name="[Table1].[City].[City]" caption="City" numFmtId="0" hierarchy="3" level="1">
      <sharedItems containsSemiMixedTypes="0" containsNonDate="0" containsString="0"/>
    </cacheField>
  </cacheFields>
  <cacheHierarchies count="35">
    <cacheHierarchy uniqueName="[Table1].[OrderID]" caption="OrderID" attribute="1" defaultMemberUniqueName="[Table1].[OrderID].[All]" allUniqueName="[Table1].[OrderID].[All]" dimensionUniqueName="[Table1]" displayFolder="" count="2" memberValueDatatype="20" unbalanced="0"/>
    <cacheHierarchy uniqueName="[Table1].[RestaurantID]" caption="RestaurantID" attribute="1" defaultMemberUniqueName="[Table1].[RestaurantID].[All]" allUniqueName="[Table1].[RestaurantID].[All]" dimensionUniqueName="[Table1]" displayFolder="" count="2" memberValueDatatype="20" unbalanced="0"/>
    <cacheHierarchy uniqueName="[Table1].[RestaurantName]" caption="RestaurantName" attribute="1" defaultMemberUniqueName="[Table1].[RestaurantName].[All]" allUniqueName="[Table1].[RestaurantName].[All]" dimensionUniqueName="[Table1]" displayFolder="" count="2" memberValueDatatype="130" unbalanced="0">
      <fieldsUsage count="2">
        <fieldUsage x="-1"/>
        <fieldUsage x="0"/>
      </fieldsUsage>
    </cacheHierarchy>
    <cacheHierarchy uniqueName="[Table1].[City]" caption="City" attribute="1" defaultMemberUniqueName="[Table1].[City].[All]" allUniqueName="[Table1].[City].[All]" dimensionUniqueName="[Table1]" displayFolder="" count="2" memberValueDatatype="130" unbalanced="0">
      <fieldsUsage count="2">
        <fieldUsage x="-1"/>
        <fieldUsage x="3"/>
      </fieldsUsage>
    </cacheHierarchy>
    <cacheHierarchy uniqueName="[Table1].[Markup (%)]" caption="Markup (%)" attribute="1" defaultMemberUniqueName="[Table1].[Markup (%)].[All]" allUniqueName="[Table1].[Markup (%)].[All]" dimensionUniqueName="[Table1]" displayFolder="" count="2" memberValueDatatype="5" unbalanced="0"/>
    <cacheHierarchy uniqueName="[Table1].[Cost]" caption="Cost" attribute="1" defaultMemberUniqueName="[Table1].[Cost].[All]" allUniqueName="[Table1].[Cost].[All]" dimensionUniqueName="[Table1]" displayFolder="" count="2" memberValueDatatype="5" unbalanced="0"/>
    <cacheHierarchy uniqueName="[Table1].[Total Cost]" caption="Total Cost" attribute="1" defaultMemberUniqueName="[Table1].[Total Cost].[All]" allUniqueName="[Table1].[Total Cost].[All]" dimensionUniqueName="[Table1]" displayFolder="" count="2" memberValueDatatype="5" unbalanced="0"/>
    <cacheHierarchy uniqueName="[Table1].[Selling Price]" caption="Selling Price" attribute="1" defaultMemberUniqueName="[Table1].[Selling Price].[All]" allUniqueName="[Table1].[Selling Price].[All]" dimensionUniqueName="[Table1]" displayFolder="" count="2" memberValueDatatype="5" unbalanced="0"/>
    <cacheHierarchy uniqueName="[Table1].[total selling price]" caption="total selling price" attribute="1" defaultMemberUniqueName="[Table1].[total selling price].[All]" allUniqueName="[Table1].[total selling price].[All]" dimensionUniqueName="[Table1]" displayFolder="" count="2" memberValueDatatype="5" unbalanced="0"/>
    <cacheHierarchy uniqueName="[Table1].[CookiesShipped]" caption="CookiesShipped" attribute="1" defaultMemberUniqueName="[Table1].[CookiesShipped].[All]" allUniqueName="[Table1].[CookiesShipped].[All]" dimensionUniqueName="[Table1]" displayFolder="" count="2" memberValueDatatype="20" unbalanced="0"/>
    <cacheHierarchy uniqueName="[Table1].[New Revenue]" caption="New Revenue" attribute="1" defaultMemberUniqueName="[Table1].[New Revenue].[All]" allUniqueName="[Table1].[New Revenue].[All]" dimensionUniqueName="[Table1]" displayFolder="" count="2" memberValueDatatype="5" unbalanced="0"/>
    <cacheHierarchy uniqueName="[Table1].[New Profit]" caption="New Profit" attribute="1" defaultMemberUniqueName="[Table1].[New Profit].[All]" allUniqueName="[Table1].[New Profit].[All]" dimensionUniqueName="[Table1]" displayFolder="" count="2" memberValueDatatype="5" unbalanced="0"/>
    <cacheHierarchy uniqueName="[Table1].[Profit Margin (%)]" caption="Profit Margin (%)" attribute="1" defaultMemberUniqueName="[Table1].[Profit Margin (%)].[All]" allUniqueName="[Table1].[Profit Margin (%)].[All]" dimensionUniqueName="[Table1]" displayFolder="" count="2" memberValueDatatype="5" unbalanced="0"/>
    <cacheHierarchy uniqueName="[Table1].[OrderDate]" caption="OrderDate" attribute="1" time="1" defaultMemberUniqueName="[Table1].[OrderDate].[All]" allUniqueName="[Table1].[OrderDate].[All]" dimensionUniqueName="[Table1]" displayFolder="" count="2" memberValueDatatype="7" unbalanced="0"/>
    <cacheHierarchy uniqueName="[Table1].[OrderDay]" caption="OrderDay" attribute="1" defaultMemberUniqueName="[Table1].[OrderDay].[All]" allUniqueName="[Table1].[OrderDay].[All]" dimensionUniqueName="[Table1]" displayFolder="" count="2" memberValueDatatype="130" unbalanced="0"/>
    <cacheHierarchy uniqueName="[Table1].[Orderweeks]" caption="Orderweeks" attribute="1" defaultMemberUniqueName="[Table1].[Orderweeks].[All]" allUniqueName="[Table1].[Orderweeks].[All]" dimensionUniqueName="[Table1]" displayFolder="" count="2" memberValueDatatype="130" unbalanced="0"/>
    <cacheHierarchy uniqueName="[Table1].[ShipDate]" caption="ShipDate" attribute="1" time="1" defaultMemberUniqueName="[Table1].[ShipDate].[All]" allUniqueName="[Table1].[ShipDate].[All]" dimensionUniqueName="[Table1]" displayFolder="" count="2" memberValueDatatype="7" unbalanced="0"/>
    <cacheHierarchy uniqueName="[Table1].[Shipday]" caption="Shipday" attribute="1" defaultMemberUniqueName="[Table1].[Shipday].[All]" allUniqueName="[Table1].[Shipday].[All]" dimensionUniqueName="[Table1]" displayFolder="" count="2" memberValueDatatype="130" unbalanced="0"/>
    <cacheHierarchy uniqueName="[Table1].[OrderStatus]" caption="OrderStatus" attribute="1" defaultMemberUniqueName="[Table1].[OrderStatus].[All]" allUniqueName="[Table1].[OrderStatus].[All]" dimensionUniqueName="[Table1]" displayFolder="" count="2" memberValueDatatype="130" unbalanced="0"/>
    <cacheHierarchy uniqueName="[Table1].[DateDifference]" caption="DateDifference" attribute="1" defaultMemberUniqueName="[Table1].[DateDifference].[All]" allUniqueName="[Table1].[DateDifference].[All]" dimensionUniqueName="[Table1]" displayFolder="" count="2" memberValueDatatype="20" unbalanced="0"/>
    <cacheHierarchy uniqueName="[Table1].[Target]" caption="Target" attribute="1" defaultMemberUniqueName="[Table1].[Target].[All]" allUniqueName="[Table1].[Target].[All]" dimensionUniqueName="[Table1]" displayFolder="" count="2" memberValueDatatype="130" unbalanced="0"/>
    <cacheHierarchy uniqueName="[Table1].[Order Day]" caption="Order Day" attribute="1" defaultMemberUniqueName="[Table1].[Order Day].[All]" allUniqueName="[Table1].[Order Day].[All]" dimensionUniqueName="[Table1]" displayFolder="" count="2"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OrderID]" caption="Sum of OrderID" measure="1" displayFolder="" measureGroup="Table1" count="0" hidden="1">
      <extLst>
        <ext xmlns:x15="http://schemas.microsoft.com/office/spreadsheetml/2010/11/main" uri="{B97F6D7D-B522-45F9-BDA1-12C45D357490}">
          <x15:cacheHierarchy aggregatedColumn="0"/>
        </ext>
      </extLst>
    </cacheHierarchy>
    <cacheHierarchy uniqueName="[Measures].[Count of OrderID]" caption="Count of OrderID" measure="1" displayFolder="" measureGroup="Table1" count="0" hidden="1">
      <extLst>
        <ext xmlns:x15="http://schemas.microsoft.com/office/spreadsheetml/2010/11/main" uri="{B97F6D7D-B522-45F9-BDA1-12C45D357490}">
          <x15:cacheHierarchy aggregatedColumn="0"/>
        </ext>
      </extLst>
    </cacheHierarchy>
    <cacheHierarchy uniqueName="[Measures].[Sum of New Revenue]" caption="Sum of New Revenue" measure="1" displayFolder="" measureGroup="Table1" count="0" hidden="1">
      <extLst>
        <ext xmlns:x15="http://schemas.microsoft.com/office/spreadsheetml/2010/11/main" uri="{B97F6D7D-B522-45F9-BDA1-12C45D357490}">
          <x15:cacheHierarchy aggregatedColumn="10"/>
        </ext>
      </extLst>
    </cacheHierarchy>
    <cacheHierarchy uniqueName="[Measures].[Sum of New Profit]" caption="Sum of New Profit" measure="1" displayFolder="" measureGroup="Table1" count="0" oneField="1" hidden="1">
      <fieldsUsage count="1">
        <fieldUsage x="2"/>
      </fieldsUsage>
      <extLst>
        <ext xmlns:x15="http://schemas.microsoft.com/office/spreadsheetml/2010/11/main" uri="{B97F6D7D-B522-45F9-BDA1-12C45D357490}">
          <x15:cacheHierarchy aggregatedColumn="11"/>
        </ext>
      </extLst>
    </cacheHierarchy>
    <cacheHierarchy uniqueName="[Measures].[Sum of CookiesShipped]" caption="Sum of CookiesShipped" measure="1" displayFolder="" measureGroup="Table1" count="0" oneField="1" hidden="1">
      <fieldsUsage count="1">
        <fieldUsage x="1"/>
      </fieldsUsage>
      <extLst>
        <ext xmlns:x15="http://schemas.microsoft.com/office/spreadsheetml/2010/11/main" uri="{B97F6D7D-B522-45F9-BDA1-12C45D357490}">
          <x15:cacheHierarchy aggregatedColumn="9"/>
        </ext>
      </extLst>
    </cacheHierarchy>
    <cacheHierarchy uniqueName="[Measures].[Sum of DateDifference]" caption="Sum of DateDifference" measure="1" displayFolder="" measureGroup="Table1" count="0" hidden="1">
      <extLst>
        <ext xmlns:x15="http://schemas.microsoft.com/office/spreadsheetml/2010/11/main" uri="{B97F6D7D-B522-45F9-BDA1-12C45D357490}">
          <x15:cacheHierarchy aggregatedColumn="19"/>
        </ext>
      </extLst>
    </cacheHierarchy>
    <cacheHierarchy uniqueName="[Measures].[Average of DateDifference]" caption="Average of DateDifference" measure="1" displayFolder="" measureGroup="Table1" count="0" hidden="1">
      <extLst>
        <ext xmlns:x15="http://schemas.microsoft.com/office/spreadsheetml/2010/11/main" uri="{B97F6D7D-B522-45F9-BDA1-12C45D357490}">
          <x15:cacheHierarchy aggregatedColumn="19"/>
        </ext>
      </extLst>
    </cacheHierarchy>
    <cacheHierarchy uniqueName="[Measures].[Count of OrderStatus]" caption="Count of OrderStatus" measure="1" displayFolder="" measureGroup="Table1" count="0" hidden="1">
      <extLst>
        <ext xmlns:x15="http://schemas.microsoft.com/office/spreadsheetml/2010/11/main" uri="{B97F6D7D-B522-45F9-BDA1-12C45D357490}">
          <x15:cacheHierarchy aggregatedColumn="18"/>
        </ext>
      </extLst>
    </cacheHierarchy>
    <cacheHierarchy uniqueName="[Measures].[Count of City]" caption="Count of City" measure="1" displayFolder="" measureGroup="Table1" count="0" hidden="1">
      <extLst>
        <ext xmlns:x15="http://schemas.microsoft.com/office/spreadsheetml/2010/11/main" uri="{B97F6D7D-B522-45F9-BDA1-12C45D357490}">
          <x15:cacheHierarchy aggregatedColumn="3"/>
        </ext>
      </extLst>
    </cacheHierarchy>
    <cacheHierarchy uniqueName="[Measures].[Count of RestaurantName]" caption="Count of RestaurantName" measure="1" displayFolder="" measureGroup="Table1" count="0" hidden="1">
      <extLst>
        <ext xmlns:x15="http://schemas.microsoft.com/office/spreadsheetml/2010/11/main" uri="{B97F6D7D-B522-45F9-BDA1-12C45D357490}">
          <x15:cacheHierarchy aggregatedColumn="2"/>
        </ext>
      </extLst>
    </cacheHierarchy>
    <cacheHierarchy uniqueName="[Measures].[Distinct Count of RestaurantName]" caption="Distinct Count of RestaurantName" measure="1" displayFolder="" measureGroup="Table1" count="0" hidden="1">
      <extLst>
        <ext xmlns:x15="http://schemas.microsoft.com/office/spreadsheetml/2010/11/main" uri="{B97F6D7D-B522-45F9-BDA1-12C45D357490}">
          <x15:cacheHierarchy aggregatedColumn="2"/>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02.932601851855" backgroundQuery="1" createdVersion="8" refreshedVersion="8" minRefreshableVersion="3" recordCount="0" supportSubquery="1" supportAdvancedDrill="1" xr:uid="{3140E615-F3AF-4CDB-A6B6-F0D122E3C365}">
  <cacheSource type="external" connectionId="1"/>
  <cacheFields count="3">
    <cacheField name="[Table1].[OrderDay].[OrderDay]" caption="OrderDay" numFmtId="0" hierarchy="14" level="1">
      <sharedItems count="7">
        <s v="Friday"/>
        <s v="Monday"/>
        <s v="Saturday"/>
        <s v="Sunday"/>
        <s v="Thursday"/>
        <s v="Tuesday"/>
        <s v="Wednesday"/>
      </sharedItems>
    </cacheField>
    <cacheField name="[Measures].[Count of OrderID]" caption="Count of OrderID" numFmtId="0" hierarchy="25" level="32767"/>
    <cacheField name="[Table1].[City].[City]" caption="City" numFmtId="0" hierarchy="3" level="1">
      <sharedItems containsSemiMixedTypes="0" containsNonDate="0" containsString="0"/>
    </cacheField>
  </cacheFields>
  <cacheHierarchies count="35">
    <cacheHierarchy uniqueName="[Table1].[OrderID]" caption="OrderID" attribute="1" defaultMemberUniqueName="[Table1].[OrderID].[All]" allUniqueName="[Table1].[OrderID].[All]" dimensionUniqueName="[Table1]" displayFolder="" count="2" memberValueDatatype="20" unbalanced="0"/>
    <cacheHierarchy uniqueName="[Table1].[RestaurantID]" caption="RestaurantID" attribute="1" defaultMemberUniqueName="[Table1].[RestaurantID].[All]" allUniqueName="[Table1].[RestaurantID].[All]" dimensionUniqueName="[Table1]" displayFolder="" count="2" memberValueDatatype="20" unbalanced="0"/>
    <cacheHierarchy uniqueName="[Table1].[RestaurantName]" caption="RestaurantName" attribute="1" defaultMemberUniqueName="[Table1].[RestaurantName].[All]" allUniqueName="[Table1].[RestaurantName].[All]" dimensionUniqueName="[Table1]" displayFolder="" count="2" memberValueDatatype="130" unbalanced="0"/>
    <cacheHierarchy uniqueName="[Table1].[City]" caption="City" attribute="1" defaultMemberUniqueName="[Table1].[City].[All]" allUniqueName="[Table1].[City].[All]" dimensionUniqueName="[Table1]" displayFolder="" count="2" memberValueDatatype="130" unbalanced="0">
      <fieldsUsage count="2">
        <fieldUsage x="-1"/>
        <fieldUsage x="2"/>
      </fieldsUsage>
    </cacheHierarchy>
    <cacheHierarchy uniqueName="[Table1].[Markup (%)]" caption="Markup (%)" attribute="1" defaultMemberUniqueName="[Table1].[Markup (%)].[All]" allUniqueName="[Table1].[Markup (%)].[All]" dimensionUniqueName="[Table1]" displayFolder="" count="2" memberValueDatatype="5" unbalanced="0"/>
    <cacheHierarchy uniqueName="[Table1].[Cost]" caption="Cost" attribute="1" defaultMemberUniqueName="[Table1].[Cost].[All]" allUniqueName="[Table1].[Cost].[All]" dimensionUniqueName="[Table1]" displayFolder="" count="2" memberValueDatatype="5" unbalanced="0"/>
    <cacheHierarchy uniqueName="[Table1].[Total Cost]" caption="Total Cost" attribute="1" defaultMemberUniqueName="[Table1].[Total Cost].[All]" allUniqueName="[Table1].[Total Cost].[All]" dimensionUniqueName="[Table1]" displayFolder="" count="2" memberValueDatatype="5" unbalanced="0"/>
    <cacheHierarchy uniqueName="[Table1].[Selling Price]" caption="Selling Price" attribute="1" defaultMemberUniqueName="[Table1].[Selling Price].[All]" allUniqueName="[Table1].[Selling Price].[All]" dimensionUniqueName="[Table1]" displayFolder="" count="2" memberValueDatatype="5" unbalanced="0"/>
    <cacheHierarchy uniqueName="[Table1].[total selling price]" caption="total selling price" attribute="1" defaultMemberUniqueName="[Table1].[total selling price].[All]" allUniqueName="[Table1].[total selling price].[All]" dimensionUniqueName="[Table1]" displayFolder="" count="2" memberValueDatatype="5" unbalanced="0"/>
    <cacheHierarchy uniqueName="[Table1].[CookiesShipped]" caption="CookiesShipped" attribute="1" defaultMemberUniqueName="[Table1].[CookiesShipped].[All]" allUniqueName="[Table1].[CookiesShipped].[All]" dimensionUniqueName="[Table1]" displayFolder="" count="2" memberValueDatatype="20" unbalanced="0"/>
    <cacheHierarchy uniqueName="[Table1].[New Revenue]" caption="New Revenue" attribute="1" defaultMemberUniqueName="[Table1].[New Revenue].[All]" allUniqueName="[Table1].[New Revenue].[All]" dimensionUniqueName="[Table1]" displayFolder="" count="2" memberValueDatatype="5" unbalanced="0"/>
    <cacheHierarchy uniqueName="[Table1].[New Profit]" caption="New Profit" attribute="1" defaultMemberUniqueName="[Table1].[New Profit].[All]" allUniqueName="[Table1].[New Profit].[All]" dimensionUniqueName="[Table1]" displayFolder="" count="2" memberValueDatatype="5" unbalanced="0"/>
    <cacheHierarchy uniqueName="[Table1].[Profit Margin (%)]" caption="Profit Margin (%)" attribute="1" defaultMemberUniqueName="[Table1].[Profit Margin (%)].[All]" allUniqueName="[Table1].[Profit Margin (%)].[All]" dimensionUniqueName="[Table1]" displayFolder="" count="2" memberValueDatatype="5" unbalanced="0"/>
    <cacheHierarchy uniqueName="[Table1].[OrderDate]" caption="OrderDate" attribute="1" time="1" defaultMemberUniqueName="[Table1].[OrderDate].[All]" allUniqueName="[Table1].[OrderDate].[All]" dimensionUniqueName="[Table1]" displayFolder="" count="2" memberValueDatatype="7" unbalanced="0"/>
    <cacheHierarchy uniqueName="[Table1].[OrderDay]" caption="OrderDay" attribute="1" defaultMemberUniqueName="[Table1].[OrderDay].[All]" allUniqueName="[Table1].[OrderDay].[All]" dimensionUniqueName="[Table1]" displayFolder="" count="2" memberValueDatatype="130" unbalanced="0">
      <fieldsUsage count="2">
        <fieldUsage x="-1"/>
        <fieldUsage x="0"/>
      </fieldsUsage>
    </cacheHierarchy>
    <cacheHierarchy uniqueName="[Table1].[Orderweeks]" caption="Orderweeks" attribute="1" defaultMemberUniqueName="[Table1].[Orderweeks].[All]" allUniqueName="[Table1].[Orderweeks].[All]" dimensionUniqueName="[Table1]" displayFolder="" count="2" memberValueDatatype="130" unbalanced="0"/>
    <cacheHierarchy uniqueName="[Table1].[ShipDate]" caption="ShipDate" attribute="1" time="1" defaultMemberUniqueName="[Table1].[ShipDate].[All]" allUniqueName="[Table1].[ShipDate].[All]" dimensionUniqueName="[Table1]" displayFolder="" count="2" memberValueDatatype="7" unbalanced="0"/>
    <cacheHierarchy uniqueName="[Table1].[Shipday]" caption="Shipday" attribute="1" defaultMemberUniqueName="[Table1].[Shipday].[All]" allUniqueName="[Table1].[Shipday].[All]" dimensionUniqueName="[Table1]" displayFolder="" count="2" memberValueDatatype="130" unbalanced="0"/>
    <cacheHierarchy uniqueName="[Table1].[OrderStatus]" caption="OrderStatus" attribute="1" defaultMemberUniqueName="[Table1].[OrderStatus].[All]" allUniqueName="[Table1].[OrderStatus].[All]" dimensionUniqueName="[Table1]" displayFolder="" count="2" memberValueDatatype="130" unbalanced="0"/>
    <cacheHierarchy uniqueName="[Table1].[DateDifference]" caption="DateDifference" attribute="1" defaultMemberUniqueName="[Table1].[DateDifference].[All]" allUniqueName="[Table1].[DateDifference].[All]" dimensionUniqueName="[Table1]" displayFolder="" count="2" memberValueDatatype="20" unbalanced="0"/>
    <cacheHierarchy uniqueName="[Table1].[Target]" caption="Target" attribute="1" defaultMemberUniqueName="[Table1].[Target].[All]" allUniqueName="[Table1].[Target].[All]" dimensionUniqueName="[Table1]" displayFolder="" count="2" memberValueDatatype="130" unbalanced="0"/>
    <cacheHierarchy uniqueName="[Table1].[Order Day]" caption="Order Day" attribute="1" defaultMemberUniqueName="[Table1].[Order Day].[All]" allUniqueName="[Table1].[Order Day].[All]" dimensionUniqueName="[Table1]" displayFolder="" count="2"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OrderID]" caption="Sum of OrderID" measure="1" displayFolder="" measureGroup="Table1" count="0" hidden="1">
      <extLst>
        <ext xmlns:x15="http://schemas.microsoft.com/office/spreadsheetml/2010/11/main" uri="{B97F6D7D-B522-45F9-BDA1-12C45D357490}">
          <x15:cacheHierarchy aggregatedColumn="0"/>
        </ext>
      </extLst>
    </cacheHierarchy>
    <cacheHierarchy uniqueName="[Measures].[Count of OrderID]" caption="Count of OrderID" measure="1" displayFolder="" measureGroup="Table1"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New Revenue]" caption="Sum of New Revenue" measure="1" displayFolder="" measureGroup="Table1" count="0" hidden="1">
      <extLst>
        <ext xmlns:x15="http://schemas.microsoft.com/office/spreadsheetml/2010/11/main" uri="{B97F6D7D-B522-45F9-BDA1-12C45D357490}">
          <x15:cacheHierarchy aggregatedColumn="10"/>
        </ext>
      </extLst>
    </cacheHierarchy>
    <cacheHierarchy uniqueName="[Measures].[Sum of New Profit]" caption="Sum of New Profit" measure="1" displayFolder="" measureGroup="Table1" count="0" hidden="1">
      <extLst>
        <ext xmlns:x15="http://schemas.microsoft.com/office/spreadsheetml/2010/11/main" uri="{B97F6D7D-B522-45F9-BDA1-12C45D357490}">
          <x15:cacheHierarchy aggregatedColumn="11"/>
        </ext>
      </extLst>
    </cacheHierarchy>
    <cacheHierarchy uniqueName="[Measures].[Sum of CookiesShipped]" caption="Sum of CookiesShipped" measure="1" displayFolder="" measureGroup="Table1" count="0" hidden="1">
      <extLst>
        <ext xmlns:x15="http://schemas.microsoft.com/office/spreadsheetml/2010/11/main" uri="{B97F6D7D-B522-45F9-BDA1-12C45D357490}">
          <x15:cacheHierarchy aggregatedColumn="9"/>
        </ext>
      </extLst>
    </cacheHierarchy>
    <cacheHierarchy uniqueName="[Measures].[Sum of DateDifference]" caption="Sum of DateDifference" measure="1" displayFolder="" measureGroup="Table1" count="0" hidden="1">
      <extLst>
        <ext xmlns:x15="http://schemas.microsoft.com/office/spreadsheetml/2010/11/main" uri="{B97F6D7D-B522-45F9-BDA1-12C45D357490}">
          <x15:cacheHierarchy aggregatedColumn="19"/>
        </ext>
      </extLst>
    </cacheHierarchy>
    <cacheHierarchy uniqueName="[Measures].[Average of DateDifference]" caption="Average of DateDifference" measure="1" displayFolder="" measureGroup="Table1" count="0" hidden="1">
      <extLst>
        <ext xmlns:x15="http://schemas.microsoft.com/office/spreadsheetml/2010/11/main" uri="{B97F6D7D-B522-45F9-BDA1-12C45D357490}">
          <x15:cacheHierarchy aggregatedColumn="19"/>
        </ext>
      </extLst>
    </cacheHierarchy>
    <cacheHierarchy uniqueName="[Measures].[Count of OrderStatus]" caption="Count of OrderStatus" measure="1" displayFolder="" measureGroup="Table1" count="0" hidden="1">
      <extLst>
        <ext xmlns:x15="http://schemas.microsoft.com/office/spreadsheetml/2010/11/main" uri="{B97F6D7D-B522-45F9-BDA1-12C45D357490}">
          <x15:cacheHierarchy aggregatedColumn="18"/>
        </ext>
      </extLst>
    </cacheHierarchy>
    <cacheHierarchy uniqueName="[Measures].[Count of City]" caption="Count of City" measure="1" displayFolder="" measureGroup="Table1" count="0" hidden="1">
      <extLst>
        <ext xmlns:x15="http://schemas.microsoft.com/office/spreadsheetml/2010/11/main" uri="{B97F6D7D-B522-45F9-BDA1-12C45D357490}">
          <x15:cacheHierarchy aggregatedColumn="3"/>
        </ext>
      </extLst>
    </cacheHierarchy>
    <cacheHierarchy uniqueName="[Measures].[Count of RestaurantName]" caption="Count of RestaurantName" measure="1" displayFolder="" measureGroup="Table1" count="0" hidden="1">
      <extLst>
        <ext xmlns:x15="http://schemas.microsoft.com/office/spreadsheetml/2010/11/main" uri="{B97F6D7D-B522-45F9-BDA1-12C45D357490}">
          <x15:cacheHierarchy aggregatedColumn="2"/>
        </ext>
      </extLst>
    </cacheHierarchy>
    <cacheHierarchy uniqueName="[Measures].[Distinct Count of RestaurantName]" caption="Distinct Count of RestaurantName" measure="1" displayFolder="" measureGroup="Table1" count="0" hidden="1">
      <extLst>
        <ext xmlns:x15="http://schemas.microsoft.com/office/spreadsheetml/2010/11/main" uri="{B97F6D7D-B522-45F9-BDA1-12C45D357490}">
          <x15:cacheHierarchy aggregatedColumn="2"/>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02.932601967594" backgroundQuery="1" createdVersion="8" refreshedVersion="8" minRefreshableVersion="3" recordCount="0" supportSubquery="1" supportAdvancedDrill="1" xr:uid="{B0252287-600C-484F-B1EE-1E9400F7A3F7}">
  <cacheSource type="external" connectionId="1"/>
  <cacheFields count="2">
    <cacheField name="[Measures].[Sum of New Profit]" caption="Sum of New Profit" numFmtId="0" hierarchy="27" level="32767"/>
    <cacheField name="[Table1].[City].[City]" caption="City" numFmtId="0" hierarchy="3" level="1">
      <sharedItems containsSemiMixedTypes="0" containsNonDate="0" containsString="0"/>
    </cacheField>
  </cacheFields>
  <cacheHierarchies count="35">
    <cacheHierarchy uniqueName="[Table1].[OrderID]" caption="OrderID" attribute="1" defaultMemberUniqueName="[Table1].[OrderID].[All]" allUniqueName="[Table1].[OrderID].[All]" dimensionUniqueName="[Table1]" displayFolder="" count="0" memberValueDatatype="20" unbalanced="0"/>
    <cacheHierarchy uniqueName="[Table1].[RestaurantID]" caption="RestaurantID" attribute="1" defaultMemberUniqueName="[Table1].[RestaurantID].[All]" allUniqueName="[Table1].[RestaurantID].[All]" dimensionUniqueName="[Table1]" displayFolder="" count="0" memberValueDatatype="20" unbalanced="0"/>
    <cacheHierarchy uniqueName="[Table1].[RestaurantName]" caption="RestaurantName" attribute="1" defaultMemberUniqueName="[Table1].[RestaurantName].[All]" allUniqueName="[Table1].[RestaurantName].[All]" dimensionUniqueName="[Table1]" displayFolder="" count="2" memberValueDatatype="130" unbalanced="0"/>
    <cacheHierarchy uniqueName="[Table1].[City]" caption="City" attribute="1" defaultMemberUniqueName="[Table1].[City].[All]" allUniqueName="[Table1].[City].[All]" dimensionUniqueName="[Table1]" displayFolder="" count="2" memberValueDatatype="130" unbalanced="0">
      <fieldsUsage count="2">
        <fieldUsage x="-1"/>
        <fieldUsage x="1"/>
      </fieldsUsage>
    </cacheHierarchy>
    <cacheHierarchy uniqueName="[Table1].[Markup (%)]" caption="Markup (%)" attribute="1" defaultMemberUniqueName="[Table1].[Markup (%)].[All]" allUniqueName="[Table1].[Markup (%)].[All]" dimensionUniqueName="[Table1]" displayFolder="" count="0" memberValueDatatype="5" unbalanced="0"/>
    <cacheHierarchy uniqueName="[Table1].[Cost]" caption="Cost" attribute="1" defaultMemberUniqueName="[Table1].[Cost].[All]" allUniqueName="[Table1].[Cost].[All]" dimensionUniqueName="[Table1]" displayFolder="" count="0" memberValueDatatype="5" unbalanced="0"/>
    <cacheHierarchy uniqueName="[Table1].[Total Cost]" caption="Total Cost" attribute="1" defaultMemberUniqueName="[Table1].[Total Cost].[All]" allUniqueName="[Table1].[Total Cost].[All]" dimensionUniqueName="[Table1]" displayFolder="" count="0" memberValueDatatype="5" unbalanced="0"/>
    <cacheHierarchy uniqueName="[Table1].[Selling Price]" caption="Selling Price" attribute="1" defaultMemberUniqueName="[Table1].[Selling Price].[All]" allUniqueName="[Table1].[Selling Price].[All]" dimensionUniqueName="[Table1]" displayFolder="" count="0" memberValueDatatype="5" unbalanced="0"/>
    <cacheHierarchy uniqueName="[Table1].[total selling price]" caption="total selling price" attribute="1" defaultMemberUniqueName="[Table1].[total selling price].[All]" allUniqueName="[Table1].[total selling price].[All]" dimensionUniqueName="[Table1]" displayFolder="" count="0" memberValueDatatype="5" unbalanced="0"/>
    <cacheHierarchy uniqueName="[Table1].[CookiesShipped]" caption="CookiesShipped" attribute="1" defaultMemberUniqueName="[Table1].[CookiesShipped].[All]" allUniqueName="[Table1].[CookiesShipped].[All]" dimensionUniqueName="[Table1]" displayFolder="" count="0" memberValueDatatype="20" unbalanced="0"/>
    <cacheHierarchy uniqueName="[Table1].[New Revenue]" caption="New Revenue" attribute="1" defaultMemberUniqueName="[Table1].[New Revenue].[All]" allUniqueName="[Table1].[New Revenue].[All]" dimensionUniqueName="[Table1]" displayFolder="" count="0" memberValueDatatype="5" unbalanced="0"/>
    <cacheHierarchy uniqueName="[Table1].[New Profit]" caption="New Profit" attribute="1" defaultMemberUniqueName="[Table1].[New Profit].[All]" allUniqueName="[Table1].[New Profit].[All]" dimensionUniqueName="[Table1]" displayFolder="" count="0" memberValueDatatype="5" unbalanced="0"/>
    <cacheHierarchy uniqueName="[Table1].[Profit Margin (%)]" caption="Profit Margin (%)" attribute="1" defaultMemberUniqueName="[Table1].[Profit Margin (%)].[All]" allUniqueName="[Table1].[Profit Margin (%)].[All]" dimensionUniqueName="[Table1]" displayFolder="" count="0" memberValueDatatype="5" unbalanced="0"/>
    <cacheHierarchy uniqueName="[Table1].[OrderDate]" caption="OrderDate" attribute="1" time="1" defaultMemberUniqueName="[Table1].[OrderDate].[All]" allUniqueName="[Table1].[OrderDate].[All]" dimensionUniqueName="[Table1]" displayFolder="" count="0" memberValueDatatype="7" unbalanced="0"/>
    <cacheHierarchy uniqueName="[Table1].[OrderDay]" caption="OrderDay" attribute="1" defaultMemberUniqueName="[Table1].[OrderDay].[All]" allUniqueName="[Table1].[OrderDay].[All]" dimensionUniqueName="[Table1]" displayFolder="" count="0" memberValueDatatype="130" unbalanced="0"/>
    <cacheHierarchy uniqueName="[Table1].[Orderweeks]" caption="Orderweeks" attribute="1" defaultMemberUniqueName="[Table1].[Orderweeks].[All]" allUniqueName="[Table1].[Orderweeks].[All]" dimensionUniqueName="[Table1]" displayFolder="" count="0" memberValueDatatype="130" unbalanced="0"/>
    <cacheHierarchy uniqueName="[Table1].[ShipDate]" caption="ShipDate" attribute="1" time="1" defaultMemberUniqueName="[Table1].[ShipDate].[All]" allUniqueName="[Table1].[ShipDate].[All]" dimensionUniqueName="[Table1]" displayFolder="" count="0" memberValueDatatype="7" unbalanced="0"/>
    <cacheHierarchy uniqueName="[Table1].[Shipday]" caption="Shipday" attribute="1" defaultMemberUniqueName="[Table1].[Shipday].[All]" allUniqueName="[Table1].[Shipday].[All]" dimensionUniqueName="[Table1]" displayFolder="" count="0" memberValueDatatype="130" unbalanced="0"/>
    <cacheHierarchy uniqueName="[Table1].[OrderStatus]" caption="OrderStatus" attribute="1" defaultMemberUniqueName="[Table1].[OrderStatus].[All]" allUniqueName="[Table1].[OrderStatus].[All]" dimensionUniqueName="[Table1]" displayFolder="" count="2" memberValueDatatype="130" unbalanced="0"/>
    <cacheHierarchy uniqueName="[Table1].[DateDifference]" caption="DateDifference" attribute="1" defaultMemberUniqueName="[Table1].[DateDifference].[All]" allUniqueName="[Table1].[DateDifference].[All]" dimensionUniqueName="[Table1]" displayFolder="" count="0" memberValueDatatype="20" unbalanced="0"/>
    <cacheHierarchy uniqueName="[Table1].[Target]" caption="Target" attribute="1" defaultMemberUniqueName="[Table1].[Target].[All]" allUniqueName="[Table1].[Target].[All]" dimensionUniqueName="[Table1]" displayFolder="" count="0" memberValueDatatype="130" unbalanced="0"/>
    <cacheHierarchy uniqueName="[Table1].[Order Day]" caption="Order Day" attribute="1" defaultMemberUniqueName="[Table1].[Order Day].[All]" allUniqueName="[Table1].[Order Day].[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OrderID]" caption="Sum of OrderID" measure="1" displayFolder="" measureGroup="Table1" count="0" hidden="1">
      <extLst>
        <ext xmlns:x15="http://schemas.microsoft.com/office/spreadsheetml/2010/11/main" uri="{B97F6D7D-B522-45F9-BDA1-12C45D357490}">
          <x15:cacheHierarchy aggregatedColumn="0"/>
        </ext>
      </extLst>
    </cacheHierarchy>
    <cacheHierarchy uniqueName="[Measures].[Count of OrderID]" caption="Count of OrderID" measure="1" displayFolder="" measureGroup="Table1" count="0" hidden="1">
      <extLst>
        <ext xmlns:x15="http://schemas.microsoft.com/office/spreadsheetml/2010/11/main" uri="{B97F6D7D-B522-45F9-BDA1-12C45D357490}">
          <x15:cacheHierarchy aggregatedColumn="0"/>
        </ext>
      </extLst>
    </cacheHierarchy>
    <cacheHierarchy uniqueName="[Measures].[Sum of New Revenue]" caption="Sum of New Revenue" measure="1" displayFolder="" measureGroup="Table1" count="0" hidden="1">
      <extLst>
        <ext xmlns:x15="http://schemas.microsoft.com/office/spreadsheetml/2010/11/main" uri="{B97F6D7D-B522-45F9-BDA1-12C45D357490}">
          <x15:cacheHierarchy aggregatedColumn="10"/>
        </ext>
      </extLst>
    </cacheHierarchy>
    <cacheHierarchy uniqueName="[Measures].[Sum of New Profit]" caption="Sum of New Profit" measure="1" displayFolder="" measureGroup="Table1" count="0" oneField="1" hidden="1">
      <fieldsUsage count="1">
        <fieldUsage x="0"/>
      </fieldsUsage>
      <extLst>
        <ext xmlns:x15="http://schemas.microsoft.com/office/spreadsheetml/2010/11/main" uri="{B97F6D7D-B522-45F9-BDA1-12C45D357490}">
          <x15:cacheHierarchy aggregatedColumn="11"/>
        </ext>
      </extLst>
    </cacheHierarchy>
    <cacheHierarchy uniqueName="[Measures].[Sum of CookiesShipped]" caption="Sum of CookiesShipped" measure="1" displayFolder="" measureGroup="Table1" count="0" hidden="1">
      <extLst>
        <ext xmlns:x15="http://schemas.microsoft.com/office/spreadsheetml/2010/11/main" uri="{B97F6D7D-B522-45F9-BDA1-12C45D357490}">
          <x15:cacheHierarchy aggregatedColumn="9"/>
        </ext>
      </extLst>
    </cacheHierarchy>
    <cacheHierarchy uniqueName="[Measures].[Sum of DateDifference]" caption="Sum of DateDifference" measure="1" displayFolder="" measureGroup="Table1" count="0" hidden="1">
      <extLst>
        <ext xmlns:x15="http://schemas.microsoft.com/office/spreadsheetml/2010/11/main" uri="{B97F6D7D-B522-45F9-BDA1-12C45D357490}">
          <x15:cacheHierarchy aggregatedColumn="19"/>
        </ext>
      </extLst>
    </cacheHierarchy>
    <cacheHierarchy uniqueName="[Measures].[Average of DateDifference]" caption="Average of DateDifference" measure="1" displayFolder="" measureGroup="Table1" count="0" hidden="1">
      <extLst>
        <ext xmlns:x15="http://schemas.microsoft.com/office/spreadsheetml/2010/11/main" uri="{B97F6D7D-B522-45F9-BDA1-12C45D357490}">
          <x15:cacheHierarchy aggregatedColumn="19"/>
        </ext>
      </extLst>
    </cacheHierarchy>
    <cacheHierarchy uniqueName="[Measures].[Count of OrderStatus]" caption="Count of OrderStatus" measure="1" displayFolder="" measureGroup="Table1" count="0" hidden="1">
      <extLst>
        <ext xmlns:x15="http://schemas.microsoft.com/office/spreadsheetml/2010/11/main" uri="{B97F6D7D-B522-45F9-BDA1-12C45D357490}">
          <x15:cacheHierarchy aggregatedColumn="18"/>
        </ext>
      </extLst>
    </cacheHierarchy>
    <cacheHierarchy uniqueName="[Measures].[Count of City]" caption="Count of City" measure="1" displayFolder="" measureGroup="Table1" count="0" hidden="1">
      <extLst>
        <ext xmlns:x15="http://schemas.microsoft.com/office/spreadsheetml/2010/11/main" uri="{B97F6D7D-B522-45F9-BDA1-12C45D357490}">
          <x15:cacheHierarchy aggregatedColumn="3"/>
        </ext>
      </extLst>
    </cacheHierarchy>
    <cacheHierarchy uniqueName="[Measures].[Count of RestaurantName]" caption="Count of RestaurantName" measure="1" displayFolder="" measureGroup="Table1" count="0" hidden="1">
      <extLst>
        <ext xmlns:x15="http://schemas.microsoft.com/office/spreadsheetml/2010/11/main" uri="{B97F6D7D-B522-45F9-BDA1-12C45D357490}">
          <x15:cacheHierarchy aggregatedColumn="2"/>
        </ext>
      </extLst>
    </cacheHierarchy>
    <cacheHierarchy uniqueName="[Measures].[Distinct Count of RestaurantName]" caption="Distinct Count of RestaurantName" measure="1" displayFolder="" measureGroup="Table1" count="0" hidden="1">
      <extLst>
        <ext xmlns:x15="http://schemas.microsoft.com/office/spreadsheetml/2010/11/main" uri="{B97F6D7D-B522-45F9-BDA1-12C45D357490}">
          <x15:cacheHierarchy aggregatedColumn="2"/>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02.932602314817" backgroundQuery="1" createdVersion="8" refreshedVersion="8" minRefreshableVersion="3" recordCount="0" supportSubquery="1" supportAdvancedDrill="1" xr:uid="{8DC6B8B4-E653-4A31-99C6-12FC49954E9B}">
  <cacheSource type="external" connectionId="1"/>
  <cacheFields count="2">
    <cacheField name="[Measures].[Sum of CookiesShipped]" caption="Sum of CookiesShipped" numFmtId="0" hierarchy="28" level="32767"/>
    <cacheField name="[Table1].[City].[City]" caption="City" numFmtId="0" hierarchy="3" level="1">
      <sharedItems containsSemiMixedTypes="0" containsNonDate="0" containsString="0"/>
    </cacheField>
  </cacheFields>
  <cacheHierarchies count="35">
    <cacheHierarchy uniqueName="[Table1].[OrderID]" caption="OrderID" attribute="1" defaultMemberUniqueName="[Table1].[OrderID].[All]" allUniqueName="[Table1].[OrderID].[All]" dimensionUniqueName="[Table1]" displayFolder="" count="0" memberValueDatatype="20" unbalanced="0"/>
    <cacheHierarchy uniqueName="[Table1].[RestaurantID]" caption="RestaurantID" attribute="1" defaultMemberUniqueName="[Table1].[RestaurantID].[All]" allUniqueName="[Table1].[RestaurantID].[All]" dimensionUniqueName="[Table1]" displayFolder="" count="0" memberValueDatatype="20" unbalanced="0"/>
    <cacheHierarchy uniqueName="[Table1].[RestaurantName]" caption="RestaurantName" attribute="1" defaultMemberUniqueName="[Table1].[RestaurantName].[All]" allUniqueName="[Table1].[RestaurantName].[All]" dimensionUniqueName="[Table1]" displayFolder="" count="2" memberValueDatatype="130" unbalanced="0"/>
    <cacheHierarchy uniqueName="[Table1].[City]" caption="City" attribute="1" defaultMemberUniqueName="[Table1].[City].[All]" allUniqueName="[Table1].[City].[All]" dimensionUniqueName="[Table1]" displayFolder="" count="2" memberValueDatatype="130" unbalanced="0">
      <fieldsUsage count="2">
        <fieldUsage x="-1"/>
        <fieldUsage x="1"/>
      </fieldsUsage>
    </cacheHierarchy>
    <cacheHierarchy uniqueName="[Table1].[Markup (%)]" caption="Markup (%)" attribute="1" defaultMemberUniqueName="[Table1].[Markup (%)].[All]" allUniqueName="[Table1].[Markup (%)].[All]" dimensionUniqueName="[Table1]" displayFolder="" count="0" memberValueDatatype="5" unbalanced="0"/>
    <cacheHierarchy uniqueName="[Table1].[Cost]" caption="Cost" attribute="1" defaultMemberUniqueName="[Table1].[Cost].[All]" allUniqueName="[Table1].[Cost].[All]" dimensionUniqueName="[Table1]" displayFolder="" count="0" memberValueDatatype="5" unbalanced="0"/>
    <cacheHierarchy uniqueName="[Table1].[Total Cost]" caption="Total Cost" attribute="1" defaultMemberUniqueName="[Table1].[Total Cost].[All]" allUniqueName="[Table1].[Total Cost].[All]" dimensionUniqueName="[Table1]" displayFolder="" count="0" memberValueDatatype="5" unbalanced="0"/>
    <cacheHierarchy uniqueName="[Table1].[Selling Price]" caption="Selling Price" attribute="1" defaultMemberUniqueName="[Table1].[Selling Price].[All]" allUniqueName="[Table1].[Selling Price].[All]" dimensionUniqueName="[Table1]" displayFolder="" count="0" memberValueDatatype="5" unbalanced="0"/>
    <cacheHierarchy uniqueName="[Table1].[total selling price]" caption="total selling price" attribute="1" defaultMemberUniqueName="[Table1].[total selling price].[All]" allUniqueName="[Table1].[total selling price].[All]" dimensionUniqueName="[Table1]" displayFolder="" count="0" memberValueDatatype="5" unbalanced="0"/>
    <cacheHierarchy uniqueName="[Table1].[CookiesShipped]" caption="CookiesShipped" attribute="1" defaultMemberUniqueName="[Table1].[CookiesShipped].[All]" allUniqueName="[Table1].[CookiesShipped].[All]" dimensionUniqueName="[Table1]" displayFolder="" count="0" memberValueDatatype="20" unbalanced="0"/>
    <cacheHierarchy uniqueName="[Table1].[New Revenue]" caption="New Revenue" attribute="1" defaultMemberUniqueName="[Table1].[New Revenue].[All]" allUniqueName="[Table1].[New Revenue].[All]" dimensionUniqueName="[Table1]" displayFolder="" count="0" memberValueDatatype="5" unbalanced="0"/>
    <cacheHierarchy uniqueName="[Table1].[New Profit]" caption="New Profit" attribute="1" defaultMemberUniqueName="[Table1].[New Profit].[All]" allUniqueName="[Table1].[New Profit].[All]" dimensionUniqueName="[Table1]" displayFolder="" count="0" memberValueDatatype="5" unbalanced="0"/>
    <cacheHierarchy uniqueName="[Table1].[Profit Margin (%)]" caption="Profit Margin (%)" attribute="1" defaultMemberUniqueName="[Table1].[Profit Margin (%)].[All]" allUniqueName="[Table1].[Profit Margin (%)].[All]" dimensionUniqueName="[Table1]" displayFolder="" count="0" memberValueDatatype="5" unbalanced="0"/>
    <cacheHierarchy uniqueName="[Table1].[OrderDate]" caption="OrderDate" attribute="1" time="1" defaultMemberUniqueName="[Table1].[OrderDate].[All]" allUniqueName="[Table1].[OrderDate].[All]" dimensionUniqueName="[Table1]" displayFolder="" count="0" memberValueDatatype="7" unbalanced="0"/>
    <cacheHierarchy uniqueName="[Table1].[OrderDay]" caption="OrderDay" attribute="1" defaultMemberUniqueName="[Table1].[OrderDay].[All]" allUniqueName="[Table1].[OrderDay].[All]" dimensionUniqueName="[Table1]" displayFolder="" count="0" memberValueDatatype="130" unbalanced="0"/>
    <cacheHierarchy uniqueName="[Table1].[Orderweeks]" caption="Orderweeks" attribute="1" defaultMemberUniqueName="[Table1].[Orderweeks].[All]" allUniqueName="[Table1].[Orderweeks].[All]" dimensionUniqueName="[Table1]" displayFolder="" count="0" memberValueDatatype="130" unbalanced="0"/>
    <cacheHierarchy uniqueName="[Table1].[ShipDate]" caption="ShipDate" attribute="1" time="1" defaultMemberUniqueName="[Table1].[ShipDate].[All]" allUniqueName="[Table1].[ShipDate].[All]" dimensionUniqueName="[Table1]" displayFolder="" count="0" memberValueDatatype="7" unbalanced="0"/>
    <cacheHierarchy uniqueName="[Table1].[Shipday]" caption="Shipday" attribute="1" defaultMemberUniqueName="[Table1].[Shipday].[All]" allUniqueName="[Table1].[Shipday].[All]" dimensionUniqueName="[Table1]" displayFolder="" count="0" memberValueDatatype="130" unbalanced="0"/>
    <cacheHierarchy uniqueName="[Table1].[OrderStatus]" caption="OrderStatus" attribute="1" defaultMemberUniqueName="[Table1].[OrderStatus].[All]" allUniqueName="[Table1].[OrderStatus].[All]" dimensionUniqueName="[Table1]" displayFolder="" count="2" memberValueDatatype="130" unbalanced="0"/>
    <cacheHierarchy uniqueName="[Table1].[DateDifference]" caption="DateDifference" attribute="1" defaultMemberUniqueName="[Table1].[DateDifference].[All]" allUniqueName="[Table1].[DateDifference].[All]" dimensionUniqueName="[Table1]" displayFolder="" count="0" memberValueDatatype="20" unbalanced="0"/>
    <cacheHierarchy uniqueName="[Table1].[Target]" caption="Target" attribute="1" defaultMemberUniqueName="[Table1].[Target].[All]" allUniqueName="[Table1].[Target].[All]" dimensionUniqueName="[Table1]" displayFolder="" count="0" memberValueDatatype="130" unbalanced="0"/>
    <cacheHierarchy uniqueName="[Table1].[Order Day]" caption="Order Day" attribute="1" defaultMemberUniqueName="[Table1].[Order Day].[All]" allUniqueName="[Table1].[Order Day].[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OrderID]" caption="Sum of OrderID" measure="1" displayFolder="" measureGroup="Table1" count="0" hidden="1">
      <extLst>
        <ext xmlns:x15="http://schemas.microsoft.com/office/spreadsheetml/2010/11/main" uri="{B97F6D7D-B522-45F9-BDA1-12C45D357490}">
          <x15:cacheHierarchy aggregatedColumn="0"/>
        </ext>
      </extLst>
    </cacheHierarchy>
    <cacheHierarchy uniqueName="[Measures].[Count of OrderID]" caption="Count of OrderID" measure="1" displayFolder="" measureGroup="Table1" count="0" hidden="1">
      <extLst>
        <ext xmlns:x15="http://schemas.microsoft.com/office/spreadsheetml/2010/11/main" uri="{B97F6D7D-B522-45F9-BDA1-12C45D357490}">
          <x15:cacheHierarchy aggregatedColumn="0"/>
        </ext>
      </extLst>
    </cacheHierarchy>
    <cacheHierarchy uniqueName="[Measures].[Sum of New Revenue]" caption="Sum of New Revenue" measure="1" displayFolder="" measureGroup="Table1" count="0" hidden="1">
      <extLst>
        <ext xmlns:x15="http://schemas.microsoft.com/office/spreadsheetml/2010/11/main" uri="{B97F6D7D-B522-45F9-BDA1-12C45D357490}">
          <x15:cacheHierarchy aggregatedColumn="10"/>
        </ext>
      </extLst>
    </cacheHierarchy>
    <cacheHierarchy uniqueName="[Measures].[Sum of New Profit]" caption="Sum of New Profit" measure="1" displayFolder="" measureGroup="Table1" count="0" hidden="1">
      <extLst>
        <ext xmlns:x15="http://schemas.microsoft.com/office/spreadsheetml/2010/11/main" uri="{B97F6D7D-B522-45F9-BDA1-12C45D357490}">
          <x15:cacheHierarchy aggregatedColumn="11"/>
        </ext>
      </extLst>
    </cacheHierarchy>
    <cacheHierarchy uniqueName="[Measures].[Sum of CookiesShipped]" caption="Sum of CookiesShipped" measure="1" displayFolder="" measureGroup="Table1" count="0" oneField="1" hidden="1">
      <fieldsUsage count="1">
        <fieldUsage x="0"/>
      </fieldsUsage>
      <extLst>
        <ext xmlns:x15="http://schemas.microsoft.com/office/spreadsheetml/2010/11/main" uri="{B97F6D7D-B522-45F9-BDA1-12C45D357490}">
          <x15:cacheHierarchy aggregatedColumn="9"/>
        </ext>
      </extLst>
    </cacheHierarchy>
    <cacheHierarchy uniqueName="[Measures].[Sum of DateDifference]" caption="Sum of DateDifference" measure="1" displayFolder="" measureGroup="Table1" count="0" hidden="1">
      <extLst>
        <ext xmlns:x15="http://schemas.microsoft.com/office/spreadsheetml/2010/11/main" uri="{B97F6D7D-B522-45F9-BDA1-12C45D357490}">
          <x15:cacheHierarchy aggregatedColumn="19"/>
        </ext>
      </extLst>
    </cacheHierarchy>
    <cacheHierarchy uniqueName="[Measures].[Average of DateDifference]" caption="Average of DateDifference" measure="1" displayFolder="" measureGroup="Table1" count="0" hidden="1">
      <extLst>
        <ext xmlns:x15="http://schemas.microsoft.com/office/spreadsheetml/2010/11/main" uri="{B97F6D7D-B522-45F9-BDA1-12C45D357490}">
          <x15:cacheHierarchy aggregatedColumn="19"/>
        </ext>
      </extLst>
    </cacheHierarchy>
    <cacheHierarchy uniqueName="[Measures].[Count of OrderStatus]" caption="Count of OrderStatus" measure="1" displayFolder="" measureGroup="Table1" count="0" hidden="1">
      <extLst>
        <ext xmlns:x15="http://schemas.microsoft.com/office/spreadsheetml/2010/11/main" uri="{B97F6D7D-B522-45F9-BDA1-12C45D357490}">
          <x15:cacheHierarchy aggregatedColumn="18"/>
        </ext>
      </extLst>
    </cacheHierarchy>
    <cacheHierarchy uniqueName="[Measures].[Count of City]" caption="Count of City" measure="1" displayFolder="" measureGroup="Table1" count="0" hidden="1">
      <extLst>
        <ext xmlns:x15="http://schemas.microsoft.com/office/spreadsheetml/2010/11/main" uri="{B97F6D7D-B522-45F9-BDA1-12C45D357490}">
          <x15:cacheHierarchy aggregatedColumn="3"/>
        </ext>
      </extLst>
    </cacheHierarchy>
    <cacheHierarchy uniqueName="[Measures].[Count of RestaurantName]" caption="Count of RestaurantName" measure="1" displayFolder="" measureGroup="Table1" count="0" hidden="1">
      <extLst>
        <ext xmlns:x15="http://schemas.microsoft.com/office/spreadsheetml/2010/11/main" uri="{B97F6D7D-B522-45F9-BDA1-12C45D357490}">
          <x15:cacheHierarchy aggregatedColumn="2"/>
        </ext>
      </extLst>
    </cacheHierarchy>
    <cacheHierarchy uniqueName="[Measures].[Distinct Count of RestaurantName]" caption="Distinct Count of RestaurantName" measure="1" displayFolder="" measureGroup="Table1" count="0" hidden="1">
      <extLst>
        <ext xmlns:x15="http://schemas.microsoft.com/office/spreadsheetml/2010/11/main" uri="{B97F6D7D-B522-45F9-BDA1-12C45D357490}">
          <x15:cacheHierarchy aggregatedColumn="2"/>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02.93260266204" backgroundQuery="1" createdVersion="8" refreshedVersion="8" minRefreshableVersion="3" recordCount="0" supportSubquery="1" supportAdvancedDrill="1" xr:uid="{53D8D24B-48E5-436B-BC44-78F5C9E428A7}">
  <cacheSource type="external" connectionId="1"/>
  <cacheFields count="3">
    <cacheField name="[Table1].[OrderStatus].[OrderStatus]" caption="OrderStatus" numFmtId="0" hierarchy="18" level="1">
      <sharedItems count="3">
        <s v="Cancelled"/>
        <s v="Pending"/>
        <s v="Shipped"/>
      </sharedItems>
    </cacheField>
    <cacheField name="[Measures].[Count of OrderStatus]" caption="Count of OrderStatus" numFmtId="0" hierarchy="31" level="32767"/>
    <cacheField name="[Table1].[City].[City]" caption="City" numFmtId="0" hierarchy="3" level="1">
      <sharedItems containsSemiMixedTypes="0" containsNonDate="0" containsString="0"/>
    </cacheField>
  </cacheFields>
  <cacheHierarchies count="35">
    <cacheHierarchy uniqueName="[Table1].[OrderID]" caption="OrderID" attribute="1" defaultMemberUniqueName="[Table1].[OrderID].[All]" allUniqueName="[Table1].[OrderID].[All]" dimensionUniqueName="[Table1]" displayFolder="" count="0" memberValueDatatype="20" unbalanced="0"/>
    <cacheHierarchy uniqueName="[Table1].[RestaurantID]" caption="RestaurantID" attribute="1" defaultMemberUniqueName="[Table1].[RestaurantID].[All]" allUniqueName="[Table1].[RestaurantID].[All]" dimensionUniqueName="[Table1]" displayFolder="" count="0" memberValueDatatype="20" unbalanced="0"/>
    <cacheHierarchy uniqueName="[Table1].[RestaurantName]" caption="RestaurantName" attribute="1" defaultMemberUniqueName="[Table1].[RestaurantName].[All]" allUniqueName="[Table1].[RestaurantName].[All]" dimensionUniqueName="[Table1]" displayFolder="" count="2" memberValueDatatype="130" unbalanced="0"/>
    <cacheHierarchy uniqueName="[Table1].[City]" caption="City" attribute="1" defaultMemberUniqueName="[Table1].[City].[All]" allUniqueName="[Table1].[City].[All]" dimensionUniqueName="[Table1]" displayFolder="" count="2" memberValueDatatype="130" unbalanced="0">
      <fieldsUsage count="2">
        <fieldUsage x="-1"/>
        <fieldUsage x="2"/>
      </fieldsUsage>
    </cacheHierarchy>
    <cacheHierarchy uniqueName="[Table1].[Markup (%)]" caption="Markup (%)" attribute="1" defaultMemberUniqueName="[Table1].[Markup (%)].[All]" allUniqueName="[Table1].[Markup (%)].[All]" dimensionUniqueName="[Table1]" displayFolder="" count="0" memberValueDatatype="5" unbalanced="0"/>
    <cacheHierarchy uniqueName="[Table1].[Cost]" caption="Cost" attribute="1" defaultMemberUniqueName="[Table1].[Cost].[All]" allUniqueName="[Table1].[Cost].[All]" dimensionUniqueName="[Table1]" displayFolder="" count="0" memberValueDatatype="5" unbalanced="0"/>
    <cacheHierarchy uniqueName="[Table1].[Total Cost]" caption="Total Cost" attribute="1" defaultMemberUniqueName="[Table1].[Total Cost].[All]" allUniqueName="[Table1].[Total Cost].[All]" dimensionUniqueName="[Table1]" displayFolder="" count="0" memberValueDatatype="5" unbalanced="0"/>
    <cacheHierarchy uniqueName="[Table1].[Selling Price]" caption="Selling Price" attribute="1" defaultMemberUniqueName="[Table1].[Selling Price].[All]" allUniqueName="[Table1].[Selling Price].[All]" dimensionUniqueName="[Table1]" displayFolder="" count="0" memberValueDatatype="5" unbalanced="0"/>
    <cacheHierarchy uniqueName="[Table1].[total selling price]" caption="total selling price" attribute="1" defaultMemberUniqueName="[Table1].[total selling price].[All]" allUniqueName="[Table1].[total selling price].[All]" dimensionUniqueName="[Table1]" displayFolder="" count="0" memberValueDatatype="5" unbalanced="0"/>
    <cacheHierarchy uniqueName="[Table1].[CookiesShipped]" caption="CookiesShipped" attribute="1" defaultMemberUniqueName="[Table1].[CookiesShipped].[All]" allUniqueName="[Table1].[CookiesShipped].[All]" dimensionUniqueName="[Table1]" displayFolder="" count="0" memberValueDatatype="20" unbalanced="0"/>
    <cacheHierarchy uniqueName="[Table1].[New Revenue]" caption="New Revenue" attribute="1" defaultMemberUniqueName="[Table1].[New Revenue].[All]" allUniqueName="[Table1].[New Revenue].[All]" dimensionUniqueName="[Table1]" displayFolder="" count="0" memberValueDatatype="5" unbalanced="0"/>
    <cacheHierarchy uniqueName="[Table1].[New Profit]" caption="New Profit" attribute="1" defaultMemberUniqueName="[Table1].[New Profit].[All]" allUniqueName="[Table1].[New Profit].[All]" dimensionUniqueName="[Table1]" displayFolder="" count="0" memberValueDatatype="5" unbalanced="0"/>
    <cacheHierarchy uniqueName="[Table1].[Profit Margin (%)]" caption="Profit Margin (%)" attribute="1" defaultMemberUniqueName="[Table1].[Profit Margin (%)].[All]" allUniqueName="[Table1].[Profit Margin (%)].[All]" dimensionUniqueName="[Table1]" displayFolder="" count="0" memberValueDatatype="5" unbalanced="0"/>
    <cacheHierarchy uniqueName="[Table1].[OrderDate]" caption="OrderDate" attribute="1" time="1" defaultMemberUniqueName="[Table1].[OrderDate].[All]" allUniqueName="[Table1].[OrderDate].[All]" dimensionUniqueName="[Table1]" displayFolder="" count="0" memberValueDatatype="7" unbalanced="0"/>
    <cacheHierarchy uniqueName="[Table1].[OrderDay]" caption="OrderDay" attribute="1" defaultMemberUniqueName="[Table1].[OrderDay].[All]" allUniqueName="[Table1].[OrderDay].[All]" dimensionUniqueName="[Table1]" displayFolder="" count="0" memberValueDatatype="130" unbalanced="0"/>
    <cacheHierarchy uniqueName="[Table1].[Orderweeks]" caption="Orderweeks" attribute="1" defaultMemberUniqueName="[Table1].[Orderweeks].[All]" allUniqueName="[Table1].[Orderweeks].[All]" dimensionUniqueName="[Table1]" displayFolder="" count="0" memberValueDatatype="130" unbalanced="0"/>
    <cacheHierarchy uniqueName="[Table1].[ShipDate]" caption="ShipDate" attribute="1" time="1" defaultMemberUniqueName="[Table1].[ShipDate].[All]" allUniqueName="[Table1].[ShipDate].[All]" dimensionUniqueName="[Table1]" displayFolder="" count="0" memberValueDatatype="7" unbalanced="0"/>
    <cacheHierarchy uniqueName="[Table1].[Shipday]" caption="Shipday" attribute="1" defaultMemberUniqueName="[Table1].[Shipday].[All]" allUniqueName="[Table1].[Shipday].[All]" dimensionUniqueName="[Table1]" displayFolder="" count="0" memberValueDatatype="130" unbalanced="0"/>
    <cacheHierarchy uniqueName="[Table1].[OrderStatus]" caption="OrderStatus" attribute="1" defaultMemberUniqueName="[Table1].[OrderStatus].[All]" allUniqueName="[Table1].[OrderStatus].[All]" dimensionUniqueName="[Table1]" displayFolder="" count="2" memberValueDatatype="130" unbalanced="0">
      <fieldsUsage count="2">
        <fieldUsage x="-1"/>
        <fieldUsage x="0"/>
      </fieldsUsage>
    </cacheHierarchy>
    <cacheHierarchy uniqueName="[Table1].[DateDifference]" caption="DateDifference" attribute="1" defaultMemberUniqueName="[Table1].[DateDifference].[All]" allUniqueName="[Table1].[DateDifference].[All]" dimensionUniqueName="[Table1]" displayFolder="" count="0" memberValueDatatype="20" unbalanced="0"/>
    <cacheHierarchy uniqueName="[Table1].[Target]" caption="Target" attribute="1" defaultMemberUniqueName="[Table1].[Target].[All]" allUniqueName="[Table1].[Target].[All]" dimensionUniqueName="[Table1]" displayFolder="" count="0" memberValueDatatype="130" unbalanced="0"/>
    <cacheHierarchy uniqueName="[Table1].[Order Day]" caption="Order Day" attribute="1" defaultMemberUniqueName="[Table1].[Order Day].[All]" allUniqueName="[Table1].[Order Day].[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OrderID]" caption="Sum of OrderID" measure="1" displayFolder="" measureGroup="Table1" count="0" hidden="1">
      <extLst>
        <ext xmlns:x15="http://schemas.microsoft.com/office/spreadsheetml/2010/11/main" uri="{B97F6D7D-B522-45F9-BDA1-12C45D357490}">
          <x15:cacheHierarchy aggregatedColumn="0"/>
        </ext>
      </extLst>
    </cacheHierarchy>
    <cacheHierarchy uniqueName="[Measures].[Count of OrderID]" caption="Count of OrderID" measure="1" displayFolder="" measureGroup="Table1" count="0" hidden="1">
      <extLst>
        <ext xmlns:x15="http://schemas.microsoft.com/office/spreadsheetml/2010/11/main" uri="{B97F6D7D-B522-45F9-BDA1-12C45D357490}">
          <x15:cacheHierarchy aggregatedColumn="0"/>
        </ext>
      </extLst>
    </cacheHierarchy>
    <cacheHierarchy uniqueName="[Measures].[Sum of New Revenue]" caption="Sum of New Revenue" measure="1" displayFolder="" measureGroup="Table1" count="0" hidden="1">
      <extLst>
        <ext xmlns:x15="http://schemas.microsoft.com/office/spreadsheetml/2010/11/main" uri="{B97F6D7D-B522-45F9-BDA1-12C45D357490}">
          <x15:cacheHierarchy aggregatedColumn="10"/>
        </ext>
      </extLst>
    </cacheHierarchy>
    <cacheHierarchy uniqueName="[Measures].[Sum of New Profit]" caption="Sum of New Profit" measure="1" displayFolder="" measureGroup="Table1" count="0" hidden="1">
      <extLst>
        <ext xmlns:x15="http://schemas.microsoft.com/office/spreadsheetml/2010/11/main" uri="{B97F6D7D-B522-45F9-BDA1-12C45D357490}">
          <x15:cacheHierarchy aggregatedColumn="11"/>
        </ext>
      </extLst>
    </cacheHierarchy>
    <cacheHierarchy uniqueName="[Measures].[Sum of CookiesShipped]" caption="Sum of CookiesShipped" measure="1" displayFolder="" measureGroup="Table1" count="0" hidden="1">
      <extLst>
        <ext xmlns:x15="http://schemas.microsoft.com/office/spreadsheetml/2010/11/main" uri="{B97F6D7D-B522-45F9-BDA1-12C45D357490}">
          <x15:cacheHierarchy aggregatedColumn="9"/>
        </ext>
      </extLst>
    </cacheHierarchy>
    <cacheHierarchy uniqueName="[Measures].[Sum of DateDifference]" caption="Sum of DateDifference" measure="1" displayFolder="" measureGroup="Table1" count="0" hidden="1">
      <extLst>
        <ext xmlns:x15="http://schemas.microsoft.com/office/spreadsheetml/2010/11/main" uri="{B97F6D7D-B522-45F9-BDA1-12C45D357490}">
          <x15:cacheHierarchy aggregatedColumn="19"/>
        </ext>
      </extLst>
    </cacheHierarchy>
    <cacheHierarchy uniqueName="[Measures].[Average of DateDifference]" caption="Average of DateDifference" measure="1" displayFolder="" measureGroup="Table1" count="0" hidden="1">
      <extLst>
        <ext xmlns:x15="http://schemas.microsoft.com/office/spreadsheetml/2010/11/main" uri="{B97F6D7D-B522-45F9-BDA1-12C45D357490}">
          <x15:cacheHierarchy aggregatedColumn="19"/>
        </ext>
      </extLst>
    </cacheHierarchy>
    <cacheHierarchy uniqueName="[Measures].[Count of OrderStatus]" caption="Count of OrderStatus" measure="1" displayFolder="" measureGroup="Table1" count="0" oneField="1" hidden="1">
      <fieldsUsage count="1">
        <fieldUsage x="1"/>
      </fieldsUsage>
      <extLst>
        <ext xmlns:x15="http://schemas.microsoft.com/office/spreadsheetml/2010/11/main" uri="{B97F6D7D-B522-45F9-BDA1-12C45D357490}">
          <x15:cacheHierarchy aggregatedColumn="18"/>
        </ext>
      </extLst>
    </cacheHierarchy>
    <cacheHierarchy uniqueName="[Measures].[Count of City]" caption="Count of City" measure="1" displayFolder="" measureGroup="Table1" count="0" hidden="1">
      <extLst>
        <ext xmlns:x15="http://schemas.microsoft.com/office/spreadsheetml/2010/11/main" uri="{B97F6D7D-B522-45F9-BDA1-12C45D357490}">
          <x15:cacheHierarchy aggregatedColumn="3"/>
        </ext>
      </extLst>
    </cacheHierarchy>
    <cacheHierarchy uniqueName="[Measures].[Count of RestaurantName]" caption="Count of RestaurantName" measure="1" displayFolder="" measureGroup="Table1" count="0" hidden="1">
      <extLst>
        <ext xmlns:x15="http://schemas.microsoft.com/office/spreadsheetml/2010/11/main" uri="{B97F6D7D-B522-45F9-BDA1-12C45D357490}">
          <x15:cacheHierarchy aggregatedColumn="2"/>
        </ext>
      </extLst>
    </cacheHierarchy>
    <cacheHierarchy uniqueName="[Measures].[Distinct Count of RestaurantName]" caption="Distinct Count of RestaurantName" measure="1" displayFolder="" measureGroup="Table1" count="0" hidden="1">
      <extLst>
        <ext xmlns:x15="http://schemas.microsoft.com/office/spreadsheetml/2010/11/main" uri="{B97F6D7D-B522-45F9-BDA1-12C45D357490}">
          <x15:cacheHierarchy aggregatedColumn="2"/>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02.932602893517" backgroundQuery="1" createdVersion="8" refreshedVersion="8" minRefreshableVersion="3" recordCount="0" supportSubquery="1" supportAdvancedDrill="1" xr:uid="{B7929527-F469-4D15-8027-6AE95D090D1D}">
  <cacheSource type="external" connectionId="1"/>
  <cacheFields count="2">
    <cacheField name="[Measures].[Distinct Count of RestaurantName]" caption="Distinct Count of RestaurantName" numFmtId="0" hierarchy="34" level="32767"/>
    <cacheField name="[Table1].[City].[City]" caption="City" numFmtId="0" hierarchy="3" level="1">
      <sharedItems containsSemiMixedTypes="0" containsNonDate="0" containsString="0"/>
    </cacheField>
  </cacheFields>
  <cacheHierarchies count="35">
    <cacheHierarchy uniqueName="[Table1].[OrderID]" caption="OrderID" attribute="1" defaultMemberUniqueName="[Table1].[OrderID].[All]" allUniqueName="[Table1].[OrderID].[All]" dimensionUniqueName="[Table1]" displayFolder="" count="0" memberValueDatatype="20" unbalanced="0"/>
    <cacheHierarchy uniqueName="[Table1].[RestaurantID]" caption="RestaurantID" attribute="1" defaultMemberUniqueName="[Table1].[RestaurantID].[All]" allUniqueName="[Table1].[RestaurantID].[All]" dimensionUniqueName="[Table1]" displayFolder="" count="0" memberValueDatatype="20" unbalanced="0"/>
    <cacheHierarchy uniqueName="[Table1].[RestaurantName]" caption="RestaurantName" attribute="1" defaultMemberUniqueName="[Table1].[RestaurantName].[All]" allUniqueName="[Table1].[RestaurantName].[All]" dimensionUniqueName="[Table1]" displayFolder="" count="2" memberValueDatatype="130" unbalanced="0"/>
    <cacheHierarchy uniqueName="[Table1].[City]" caption="City" attribute="1" defaultMemberUniqueName="[Table1].[City].[All]" allUniqueName="[Table1].[City].[All]" dimensionUniqueName="[Table1]" displayFolder="" count="2" memberValueDatatype="130" unbalanced="0">
      <fieldsUsage count="2">
        <fieldUsage x="-1"/>
        <fieldUsage x="1"/>
      </fieldsUsage>
    </cacheHierarchy>
    <cacheHierarchy uniqueName="[Table1].[Markup (%)]" caption="Markup (%)" attribute="1" defaultMemberUniqueName="[Table1].[Markup (%)].[All]" allUniqueName="[Table1].[Markup (%)].[All]" dimensionUniqueName="[Table1]" displayFolder="" count="0" memberValueDatatype="5" unbalanced="0"/>
    <cacheHierarchy uniqueName="[Table1].[Cost]" caption="Cost" attribute="1" defaultMemberUniqueName="[Table1].[Cost].[All]" allUniqueName="[Table1].[Cost].[All]" dimensionUniqueName="[Table1]" displayFolder="" count="0" memberValueDatatype="5" unbalanced="0"/>
    <cacheHierarchy uniqueName="[Table1].[Total Cost]" caption="Total Cost" attribute="1" defaultMemberUniqueName="[Table1].[Total Cost].[All]" allUniqueName="[Table1].[Total Cost].[All]" dimensionUniqueName="[Table1]" displayFolder="" count="0" memberValueDatatype="5" unbalanced="0"/>
    <cacheHierarchy uniqueName="[Table1].[Selling Price]" caption="Selling Price" attribute="1" defaultMemberUniqueName="[Table1].[Selling Price].[All]" allUniqueName="[Table1].[Selling Price].[All]" dimensionUniqueName="[Table1]" displayFolder="" count="0" memberValueDatatype="5" unbalanced="0"/>
    <cacheHierarchy uniqueName="[Table1].[total selling price]" caption="total selling price" attribute="1" defaultMemberUniqueName="[Table1].[total selling price].[All]" allUniqueName="[Table1].[total selling price].[All]" dimensionUniqueName="[Table1]" displayFolder="" count="0" memberValueDatatype="5" unbalanced="0"/>
    <cacheHierarchy uniqueName="[Table1].[CookiesShipped]" caption="CookiesShipped" attribute="1" defaultMemberUniqueName="[Table1].[CookiesShipped].[All]" allUniqueName="[Table1].[CookiesShipped].[All]" dimensionUniqueName="[Table1]" displayFolder="" count="0" memberValueDatatype="20" unbalanced="0"/>
    <cacheHierarchy uniqueName="[Table1].[New Revenue]" caption="New Revenue" attribute="1" defaultMemberUniqueName="[Table1].[New Revenue].[All]" allUniqueName="[Table1].[New Revenue].[All]" dimensionUniqueName="[Table1]" displayFolder="" count="0" memberValueDatatype="5" unbalanced="0"/>
    <cacheHierarchy uniqueName="[Table1].[New Profit]" caption="New Profit" attribute="1" defaultMemberUniqueName="[Table1].[New Profit].[All]" allUniqueName="[Table1].[New Profit].[All]" dimensionUniqueName="[Table1]" displayFolder="" count="0" memberValueDatatype="5" unbalanced="0"/>
    <cacheHierarchy uniqueName="[Table1].[Profit Margin (%)]" caption="Profit Margin (%)" attribute="1" defaultMemberUniqueName="[Table1].[Profit Margin (%)].[All]" allUniqueName="[Table1].[Profit Margin (%)].[All]" dimensionUniqueName="[Table1]" displayFolder="" count="0" memberValueDatatype="5" unbalanced="0"/>
    <cacheHierarchy uniqueName="[Table1].[OrderDate]" caption="OrderDate" attribute="1" time="1" defaultMemberUniqueName="[Table1].[OrderDate].[All]" allUniqueName="[Table1].[OrderDate].[All]" dimensionUniqueName="[Table1]" displayFolder="" count="0" memberValueDatatype="7" unbalanced="0"/>
    <cacheHierarchy uniqueName="[Table1].[OrderDay]" caption="OrderDay" attribute="1" defaultMemberUniqueName="[Table1].[OrderDay].[All]" allUniqueName="[Table1].[OrderDay].[All]" dimensionUniqueName="[Table1]" displayFolder="" count="0" memberValueDatatype="130" unbalanced="0"/>
    <cacheHierarchy uniqueName="[Table1].[Orderweeks]" caption="Orderweeks" attribute="1" defaultMemberUniqueName="[Table1].[Orderweeks].[All]" allUniqueName="[Table1].[Orderweeks].[All]" dimensionUniqueName="[Table1]" displayFolder="" count="0" memberValueDatatype="130" unbalanced="0"/>
    <cacheHierarchy uniqueName="[Table1].[ShipDate]" caption="ShipDate" attribute="1" time="1" defaultMemberUniqueName="[Table1].[ShipDate].[All]" allUniqueName="[Table1].[ShipDate].[All]" dimensionUniqueName="[Table1]" displayFolder="" count="0" memberValueDatatype="7" unbalanced="0"/>
    <cacheHierarchy uniqueName="[Table1].[Shipday]" caption="Shipday" attribute="1" defaultMemberUniqueName="[Table1].[Shipday].[All]" allUniqueName="[Table1].[Shipday].[All]" dimensionUniqueName="[Table1]" displayFolder="" count="0" memberValueDatatype="130" unbalanced="0"/>
    <cacheHierarchy uniqueName="[Table1].[OrderStatus]" caption="OrderStatus" attribute="1" defaultMemberUniqueName="[Table1].[OrderStatus].[All]" allUniqueName="[Table1].[OrderStatus].[All]" dimensionUniqueName="[Table1]" displayFolder="" count="2" memberValueDatatype="130" unbalanced="0"/>
    <cacheHierarchy uniqueName="[Table1].[DateDifference]" caption="DateDifference" attribute="1" defaultMemberUniqueName="[Table1].[DateDifference].[All]" allUniqueName="[Table1].[DateDifference].[All]" dimensionUniqueName="[Table1]" displayFolder="" count="0" memberValueDatatype="20" unbalanced="0"/>
    <cacheHierarchy uniqueName="[Table1].[Target]" caption="Target" attribute="1" defaultMemberUniqueName="[Table1].[Target].[All]" allUniqueName="[Table1].[Target].[All]" dimensionUniqueName="[Table1]" displayFolder="" count="0" memberValueDatatype="130" unbalanced="0"/>
    <cacheHierarchy uniqueName="[Table1].[Order Day]" caption="Order Day" attribute="1" defaultMemberUniqueName="[Table1].[Order Day].[All]" allUniqueName="[Table1].[Order Day].[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OrderID]" caption="Sum of OrderID" measure="1" displayFolder="" measureGroup="Table1" count="0" hidden="1">
      <extLst>
        <ext xmlns:x15="http://schemas.microsoft.com/office/spreadsheetml/2010/11/main" uri="{B97F6D7D-B522-45F9-BDA1-12C45D357490}">
          <x15:cacheHierarchy aggregatedColumn="0"/>
        </ext>
      </extLst>
    </cacheHierarchy>
    <cacheHierarchy uniqueName="[Measures].[Count of OrderID]" caption="Count of OrderID" measure="1" displayFolder="" measureGroup="Table1" count="0" hidden="1">
      <extLst>
        <ext xmlns:x15="http://schemas.microsoft.com/office/spreadsheetml/2010/11/main" uri="{B97F6D7D-B522-45F9-BDA1-12C45D357490}">
          <x15:cacheHierarchy aggregatedColumn="0"/>
        </ext>
      </extLst>
    </cacheHierarchy>
    <cacheHierarchy uniqueName="[Measures].[Sum of New Revenue]" caption="Sum of New Revenue" measure="1" displayFolder="" measureGroup="Table1" count="0" hidden="1">
      <extLst>
        <ext xmlns:x15="http://schemas.microsoft.com/office/spreadsheetml/2010/11/main" uri="{B97F6D7D-B522-45F9-BDA1-12C45D357490}">
          <x15:cacheHierarchy aggregatedColumn="10"/>
        </ext>
      </extLst>
    </cacheHierarchy>
    <cacheHierarchy uniqueName="[Measures].[Sum of New Profit]" caption="Sum of New Profit" measure="1" displayFolder="" measureGroup="Table1" count="0" hidden="1">
      <extLst>
        <ext xmlns:x15="http://schemas.microsoft.com/office/spreadsheetml/2010/11/main" uri="{B97F6D7D-B522-45F9-BDA1-12C45D357490}">
          <x15:cacheHierarchy aggregatedColumn="11"/>
        </ext>
      </extLst>
    </cacheHierarchy>
    <cacheHierarchy uniqueName="[Measures].[Sum of CookiesShipped]" caption="Sum of CookiesShipped" measure="1" displayFolder="" measureGroup="Table1" count="0" hidden="1">
      <extLst>
        <ext xmlns:x15="http://schemas.microsoft.com/office/spreadsheetml/2010/11/main" uri="{B97F6D7D-B522-45F9-BDA1-12C45D357490}">
          <x15:cacheHierarchy aggregatedColumn="9"/>
        </ext>
      </extLst>
    </cacheHierarchy>
    <cacheHierarchy uniqueName="[Measures].[Sum of DateDifference]" caption="Sum of DateDifference" measure="1" displayFolder="" measureGroup="Table1" count="0" hidden="1">
      <extLst>
        <ext xmlns:x15="http://schemas.microsoft.com/office/spreadsheetml/2010/11/main" uri="{B97F6D7D-B522-45F9-BDA1-12C45D357490}">
          <x15:cacheHierarchy aggregatedColumn="19"/>
        </ext>
      </extLst>
    </cacheHierarchy>
    <cacheHierarchy uniqueName="[Measures].[Average of DateDifference]" caption="Average of DateDifference" measure="1" displayFolder="" measureGroup="Table1" count="0" hidden="1">
      <extLst>
        <ext xmlns:x15="http://schemas.microsoft.com/office/spreadsheetml/2010/11/main" uri="{B97F6D7D-B522-45F9-BDA1-12C45D357490}">
          <x15:cacheHierarchy aggregatedColumn="19"/>
        </ext>
      </extLst>
    </cacheHierarchy>
    <cacheHierarchy uniqueName="[Measures].[Count of OrderStatus]" caption="Count of OrderStatus" measure="1" displayFolder="" measureGroup="Table1" count="0" hidden="1">
      <extLst>
        <ext xmlns:x15="http://schemas.microsoft.com/office/spreadsheetml/2010/11/main" uri="{B97F6D7D-B522-45F9-BDA1-12C45D357490}">
          <x15:cacheHierarchy aggregatedColumn="18"/>
        </ext>
      </extLst>
    </cacheHierarchy>
    <cacheHierarchy uniqueName="[Measures].[Count of City]" caption="Count of City" measure="1" displayFolder="" measureGroup="Table1" count="0" hidden="1">
      <extLst>
        <ext xmlns:x15="http://schemas.microsoft.com/office/spreadsheetml/2010/11/main" uri="{B97F6D7D-B522-45F9-BDA1-12C45D357490}">
          <x15:cacheHierarchy aggregatedColumn="3"/>
        </ext>
      </extLst>
    </cacheHierarchy>
    <cacheHierarchy uniqueName="[Measures].[Count of RestaurantName]" caption="Count of RestaurantName" measure="1" displayFolder="" measureGroup="Table1" count="0" hidden="1">
      <extLst>
        <ext xmlns:x15="http://schemas.microsoft.com/office/spreadsheetml/2010/11/main" uri="{B97F6D7D-B522-45F9-BDA1-12C45D357490}">
          <x15:cacheHierarchy aggregatedColumn="2"/>
        </ext>
      </extLst>
    </cacheHierarchy>
    <cacheHierarchy uniqueName="[Measures].[Distinct Count of RestaurantName]" caption="Distinct Count of RestaurantName" measure="1" displayFolder="" measureGroup="Table1" count="0" oneField="1" hidden="1">
      <fieldsUsage count="1">
        <fieldUsage x="0"/>
      </fieldsUsage>
      <extLst>
        <ext xmlns:x15="http://schemas.microsoft.com/office/spreadsheetml/2010/11/main" uri="{B97F6D7D-B522-45F9-BDA1-12C45D357490}">
          <x15:cacheHierarchy aggregatedColumn="2"/>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02.932603472225" backgroundQuery="1" createdVersion="8" refreshedVersion="8" minRefreshableVersion="3" recordCount="0" supportSubquery="1" supportAdvancedDrill="1" xr:uid="{27028BC9-CE2C-4F07-A3F8-61EAE19CBAC3}">
  <cacheSource type="external" connectionId="1"/>
  <cacheFields count="4">
    <cacheField name="[Table1].[RestaurantName].[RestaurantName]" caption="RestaurantName" numFmtId="0" hierarchy="2" level="1">
      <sharedItems count="5">
        <s v="Burger Town"/>
        <s v="Pasta Place"/>
        <s v="Pizza Palace"/>
        <s v="Sushi World"/>
        <s v="Taco Land"/>
      </sharedItems>
    </cacheField>
    <cacheField name="[Measures].[Sum of New Revenue]" caption="Sum of New Revenue" numFmtId="0" hierarchy="26" level="32767"/>
    <cacheField name="[Measures].[Sum of New Profit]" caption="Sum of New Profit" numFmtId="0" hierarchy="27" level="32767"/>
    <cacheField name="[Table1].[City].[City]" caption="City" numFmtId="0" hierarchy="3" level="1">
      <sharedItems containsSemiMixedTypes="0" containsNonDate="0" containsString="0"/>
    </cacheField>
  </cacheFields>
  <cacheHierarchies count="35">
    <cacheHierarchy uniqueName="[Table1].[OrderID]" caption="OrderID" attribute="1" defaultMemberUniqueName="[Table1].[OrderID].[All]" allUniqueName="[Table1].[OrderID].[All]" dimensionUniqueName="[Table1]" displayFolder="" count="0" memberValueDatatype="20" unbalanced="0"/>
    <cacheHierarchy uniqueName="[Table1].[RestaurantID]" caption="RestaurantID" attribute="1" defaultMemberUniqueName="[Table1].[RestaurantID].[All]" allUniqueName="[Table1].[RestaurantID].[All]" dimensionUniqueName="[Table1]" displayFolder="" count="0" memberValueDatatype="20" unbalanced="0"/>
    <cacheHierarchy uniqueName="[Table1].[RestaurantName]" caption="RestaurantName" attribute="1" defaultMemberUniqueName="[Table1].[RestaurantName].[All]" allUniqueName="[Table1].[RestaurantName].[All]" dimensionUniqueName="[Table1]" displayFolder="" count="2" memberValueDatatype="130" unbalanced="0">
      <fieldsUsage count="2">
        <fieldUsage x="-1"/>
        <fieldUsage x="0"/>
      </fieldsUsage>
    </cacheHierarchy>
    <cacheHierarchy uniqueName="[Table1].[City]" caption="City" attribute="1" defaultMemberUniqueName="[Table1].[City].[All]" allUniqueName="[Table1].[City].[All]" dimensionUniqueName="[Table1]" displayFolder="" count="2" memberValueDatatype="130" unbalanced="0">
      <fieldsUsage count="2">
        <fieldUsage x="-1"/>
        <fieldUsage x="3"/>
      </fieldsUsage>
    </cacheHierarchy>
    <cacheHierarchy uniqueName="[Table1].[Markup (%)]" caption="Markup (%)" attribute="1" defaultMemberUniqueName="[Table1].[Markup (%)].[All]" allUniqueName="[Table1].[Markup (%)].[All]" dimensionUniqueName="[Table1]" displayFolder="" count="0" memberValueDatatype="5" unbalanced="0"/>
    <cacheHierarchy uniqueName="[Table1].[Cost]" caption="Cost" attribute="1" defaultMemberUniqueName="[Table1].[Cost].[All]" allUniqueName="[Table1].[Cost].[All]" dimensionUniqueName="[Table1]" displayFolder="" count="0" memberValueDatatype="5" unbalanced="0"/>
    <cacheHierarchy uniqueName="[Table1].[Total Cost]" caption="Total Cost" attribute="1" defaultMemberUniqueName="[Table1].[Total Cost].[All]" allUniqueName="[Table1].[Total Cost].[All]" dimensionUniqueName="[Table1]" displayFolder="" count="0" memberValueDatatype="5" unbalanced="0"/>
    <cacheHierarchy uniqueName="[Table1].[Selling Price]" caption="Selling Price" attribute="1" defaultMemberUniqueName="[Table1].[Selling Price].[All]" allUniqueName="[Table1].[Selling Price].[All]" dimensionUniqueName="[Table1]" displayFolder="" count="0" memberValueDatatype="5" unbalanced="0"/>
    <cacheHierarchy uniqueName="[Table1].[total selling price]" caption="total selling price" attribute="1" defaultMemberUniqueName="[Table1].[total selling price].[All]" allUniqueName="[Table1].[total selling price].[All]" dimensionUniqueName="[Table1]" displayFolder="" count="0" memberValueDatatype="5" unbalanced="0"/>
    <cacheHierarchy uniqueName="[Table1].[CookiesShipped]" caption="CookiesShipped" attribute="1" defaultMemberUniqueName="[Table1].[CookiesShipped].[All]" allUniqueName="[Table1].[CookiesShipped].[All]" dimensionUniqueName="[Table1]" displayFolder="" count="0" memberValueDatatype="20" unbalanced="0"/>
    <cacheHierarchy uniqueName="[Table1].[New Revenue]" caption="New Revenue" attribute="1" defaultMemberUniqueName="[Table1].[New Revenue].[All]" allUniqueName="[Table1].[New Revenue].[All]" dimensionUniqueName="[Table1]" displayFolder="" count="0" memberValueDatatype="5" unbalanced="0"/>
    <cacheHierarchy uniqueName="[Table1].[New Profit]" caption="New Profit" attribute="1" defaultMemberUniqueName="[Table1].[New Profit].[All]" allUniqueName="[Table1].[New Profit].[All]" dimensionUniqueName="[Table1]" displayFolder="" count="0" memberValueDatatype="5" unbalanced="0"/>
    <cacheHierarchy uniqueName="[Table1].[Profit Margin (%)]" caption="Profit Margin (%)" attribute="1" defaultMemberUniqueName="[Table1].[Profit Margin (%)].[All]" allUniqueName="[Table1].[Profit Margin (%)].[All]" dimensionUniqueName="[Table1]" displayFolder="" count="0" memberValueDatatype="5" unbalanced="0"/>
    <cacheHierarchy uniqueName="[Table1].[OrderDate]" caption="OrderDate" attribute="1" time="1" defaultMemberUniqueName="[Table1].[OrderDate].[All]" allUniqueName="[Table1].[OrderDate].[All]" dimensionUniqueName="[Table1]" displayFolder="" count="0" memberValueDatatype="7" unbalanced="0"/>
    <cacheHierarchy uniqueName="[Table1].[OrderDay]" caption="OrderDay" attribute="1" defaultMemberUniqueName="[Table1].[OrderDay].[All]" allUniqueName="[Table1].[OrderDay].[All]" dimensionUniqueName="[Table1]" displayFolder="" count="0" memberValueDatatype="130" unbalanced="0"/>
    <cacheHierarchy uniqueName="[Table1].[Orderweeks]" caption="Orderweeks" attribute="1" defaultMemberUniqueName="[Table1].[Orderweeks].[All]" allUniqueName="[Table1].[Orderweeks].[All]" dimensionUniqueName="[Table1]" displayFolder="" count="0" memberValueDatatype="130" unbalanced="0"/>
    <cacheHierarchy uniqueName="[Table1].[ShipDate]" caption="ShipDate" attribute="1" time="1" defaultMemberUniqueName="[Table1].[ShipDate].[All]" allUniqueName="[Table1].[ShipDate].[All]" dimensionUniqueName="[Table1]" displayFolder="" count="0" memberValueDatatype="7" unbalanced="0"/>
    <cacheHierarchy uniqueName="[Table1].[Shipday]" caption="Shipday" attribute="1" defaultMemberUniqueName="[Table1].[Shipday].[All]" allUniqueName="[Table1].[Shipday].[All]" dimensionUniqueName="[Table1]" displayFolder="" count="0" memberValueDatatype="130" unbalanced="0"/>
    <cacheHierarchy uniqueName="[Table1].[OrderStatus]" caption="OrderStatus" attribute="1" defaultMemberUniqueName="[Table1].[OrderStatus].[All]" allUniqueName="[Table1].[OrderStatus].[All]" dimensionUniqueName="[Table1]" displayFolder="" count="2" memberValueDatatype="130" unbalanced="0"/>
    <cacheHierarchy uniqueName="[Table1].[DateDifference]" caption="DateDifference" attribute="1" defaultMemberUniqueName="[Table1].[DateDifference].[All]" allUniqueName="[Table1].[DateDifference].[All]" dimensionUniqueName="[Table1]" displayFolder="" count="0" memberValueDatatype="20" unbalanced="0"/>
    <cacheHierarchy uniqueName="[Table1].[Target]" caption="Target" attribute="1" defaultMemberUniqueName="[Table1].[Target].[All]" allUniqueName="[Table1].[Target].[All]" dimensionUniqueName="[Table1]" displayFolder="" count="0" memberValueDatatype="130" unbalanced="0"/>
    <cacheHierarchy uniqueName="[Table1].[Order Day]" caption="Order Day" attribute="1" defaultMemberUniqueName="[Table1].[Order Day].[All]" allUniqueName="[Table1].[Order Day].[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OrderID]" caption="Sum of OrderID" measure="1" displayFolder="" measureGroup="Table1" count="0" hidden="1">
      <extLst>
        <ext xmlns:x15="http://schemas.microsoft.com/office/spreadsheetml/2010/11/main" uri="{B97F6D7D-B522-45F9-BDA1-12C45D357490}">
          <x15:cacheHierarchy aggregatedColumn="0"/>
        </ext>
      </extLst>
    </cacheHierarchy>
    <cacheHierarchy uniqueName="[Measures].[Count of OrderID]" caption="Count of OrderID" measure="1" displayFolder="" measureGroup="Table1" count="0" hidden="1">
      <extLst>
        <ext xmlns:x15="http://schemas.microsoft.com/office/spreadsheetml/2010/11/main" uri="{B97F6D7D-B522-45F9-BDA1-12C45D357490}">
          <x15:cacheHierarchy aggregatedColumn="0"/>
        </ext>
      </extLst>
    </cacheHierarchy>
    <cacheHierarchy uniqueName="[Measures].[Sum of New Revenue]" caption="Sum of New Revenue" measure="1" displayFolder="" measureGroup="Table1" count="0" oneField="1" hidden="1">
      <fieldsUsage count="1">
        <fieldUsage x="1"/>
      </fieldsUsage>
      <extLst>
        <ext xmlns:x15="http://schemas.microsoft.com/office/spreadsheetml/2010/11/main" uri="{B97F6D7D-B522-45F9-BDA1-12C45D357490}">
          <x15:cacheHierarchy aggregatedColumn="10"/>
        </ext>
      </extLst>
    </cacheHierarchy>
    <cacheHierarchy uniqueName="[Measures].[Sum of New Profit]" caption="Sum of New Profit" measure="1" displayFolder="" measureGroup="Table1" count="0" oneField="1" hidden="1">
      <fieldsUsage count="1">
        <fieldUsage x="2"/>
      </fieldsUsage>
      <extLst>
        <ext xmlns:x15="http://schemas.microsoft.com/office/spreadsheetml/2010/11/main" uri="{B97F6D7D-B522-45F9-BDA1-12C45D357490}">
          <x15:cacheHierarchy aggregatedColumn="11"/>
        </ext>
      </extLst>
    </cacheHierarchy>
    <cacheHierarchy uniqueName="[Measures].[Sum of CookiesShipped]" caption="Sum of CookiesShipped" measure="1" displayFolder="" measureGroup="Table1" count="0" hidden="1">
      <extLst>
        <ext xmlns:x15="http://schemas.microsoft.com/office/spreadsheetml/2010/11/main" uri="{B97F6D7D-B522-45F9-BDA1-12C45D357490}">
          <x15:cacheHierarchy aggregatedColumn="9"/>
        </ext>
      </extLst>
    </cacheHierarchy>
    <cacheHierarchy uniqueName="[Measures].[Sum of DateDifference]" caption="Sum of DateDifference" measure="1" displayFolder="" measureGroup="Table1" count="0" hidden="1">
      <extLst>
        <ext xmlns:x15="http://schemas.microsoft.com/office/spreadsheetml/2010/11/main" uri="{B97F6D7D-B522-45F9-BDA1-12C45D357490}">
          <x15:cacheHierarchy aggregatedColumn="19"/>
        </ext>
      </extLst>
    </cacheHierarchy>
    <cacheHierarchy uniqueName="[Measures].[Average of DateDifference]" caption="Average of DateDifference" measure="1" displayFolder="" measureGroup="Table1" count="0" hidden="1">
      <extLst>
        <ext xmlns:x15="http://schemas.microsoft.com/office/spreadsheetml/2010/11/main" uri="{B97F6D7D-B522-45F9-BDA1-12C45D357490}">
          <x15:cacheHierarchy aggregatedColumn="19"/>
        </ext>
      </extLst>
    </cacheHierarchy>
    <cacheHierarchy uniqueName="[Measures].[Count of OrderStatus]" caption="Count of OrderStatus" measure="1" displayFolder="" measureGroup="Table1" count="0" hidden="1">
      <extLst>
        <ext xmlns:x15="http://schemas.microsoft.com/office/spreadsheetml/2010/11/main" uri="{B97F6D7D-B522-45F9-BDA1-12C45D357490}">
          <x15:cacheHierarchy aggregatedColumn="18"/>
        </ext>
      </extLst>
    </cacheHierarchy>
    <cacheHierarchy uniqueName="[Measures].[Count of City]" caption="Count of City" measure="1" displayFolder="" measureGroup="Table1" count="0" hidden="1">
      <extLst>
        <ext xmlns:x15="http://schemas.microsoft.com/office/spreadsheetml/2010/11/main" uri="{B97F6D7D-B522-45F9-BDA1-12C45D357490}">
          <x15:cacheHierarchy aggregatedColumn="3"/>
        </ext>
      </extLst>
    </cacheHierarchy>
    <cacheHierarchy uniqueName="[Measures].[Count of RestaurantName]" caption="Count of RestaurantName" measure="1" displayFolder="" measureGroup="Table1" count="0" hidden="1">
      <extLst>
        <ext xmlns:x15="http://schemas.microsoft.com/office/spreadsheetml/2010/11/main" uri="{B97F6D7D-B522-45F9-BDA1-12C45D357490}">
          <x15:cacheHierarchy aggregatedColumn="2"/>
        </ext>
      </extLst>
    </cacheHierarchy>
    <cacheHierarchy uniqueName="[Measures].[Distinct Count of RestaurantName]" caption="Distinct Count of RestaurantName" measure="1" displayFolder="" measureGroup="Table1" count="0" hidden="1">
      <extLst>
        <ext xmlns:x15="http://schemas.microsoft.com/office/spreadsheetml/2010/11/main" uri="{B97F6D7D-B522-45F9-BDA1-12C45D357490}">
          <x15:cacheHierarchy aggregatedColumn="2"/>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02.932604166665" backgroundQuery="1" createdVersion="8" refreshedVersion="8" minRefreshableVersion="3" recordCount="0" supportSubquery="1" supportAdvancedDrill="1" xr:uid="{1D315875-F6D2-46EE-B5B5-8FFCB524705C}">
  <cacheSource type="external" connectionId="1"/>
  <cacheFields count="3">
    <cacheField name="[Table1].[Orderweeks].[Orderweeks]" caption="Orderweeks" numFmtId="0" hierarchy="15" level="1">
      <sharedItems count="5">
        <s v="Week 1"/>
        <s v="Week 2"/>
        <s v="Week 3"/>
        <s v="Week 4"/>
        <s v="Week 5"/>
      </sharedItems>
    </cacheField>
    <cacheField name="[Measures].[Sum of New Revenue]" caption="Sum of New Revenue" numFmtId="0" hierarchy="26" level="32767"/>
    <cacheField name="[Table1].[City].[City]" caption="City" numFmtId="0" hierarchy="3" level="1">
      <sharedItems containsSemiMixedTypes="0" containsNonDate="0" containsString="0"/>
    </cacheField>
  </cacheFields>
  <cacheHierarchies count="35">
    <cacheHierarchy uniqueName="[Table1].[OrderID]" caption="OrderID" attribute="1" defaultMemberUniqueName="[Table1].[OrderID].[All]" allUniqueName="[Table1].[OrderID].[All]" dimensionUniqueName="[Table1]" displayFolder="" count="0" memberValueDatatype="20" unbalanced="0"/>
    <cacheHierarchy uniqueName="[Table1].[RestaurantID]" caption="RestaurantID" attribute="1" defaultMemberUniqueName="[Table1].[RestaurantID].[All]" allUniqueName="[Table1].[RestaurantID].[All]" dimensionUniqueName="[Table1]" displayFolder="" count="0" memberValueDatatype="20" unbalanced="0"/>
    <cacheHierarchy uniqueName="[Table1].[RestaurantName]" caption="RestaurantName" attribute="1" defaultMemberUniqueName="[Table1].[RestaurantName].[All]" allUniqueName="[Table1].[RestaurantName].[All]" dimensionUniqueName="[Table1]" displayFolder="" count="2" memberValueDatatype="130" unbalanced="0"/>
    <cacheHierarchy uniqueName="[Table1].[City]" caption="City" attribute="1" defaultMemberUniqueName="[Table1].[City].[All]" allUniqueName="[Table1].[City].[All]" dimensionUniqueName="[Table1]" displayFolder="" count="2" memberValueDatatype="130" unbalanced="0">
      <fieldsUsage count="2">
        <fieldUsage x="-1"/>
        <fieldUsage x="2"/>
      </fieldsUsage>
    </cacheHierarchy>
    <cacheHierarchy uniqueName="[Table1].[Markup (%)]" caption="Markup (%)" attribute="1" defaultMemberUniqueName="[Table1].[Markup (%)].[All]" allUniqueName="[Table1].[Markup (%)].[All]" dimensionUniqueName="[Table1]" displayFolder="" count="0" memberValueDatatype="5" unbalanced="0"/>
    <cacheHierarchy uniqueName="[Table1].[Cost]" caption="Cost" attribute="1" defaultMemberUniqueName="[Table1].[Cost].[All]" allUniqueName="[Table1].[Cost].[All]" dimensionUniqueName="[Table1]" displayFolder="" count="0" memberValueDatatype="5" unbalanced="0"/>
    <cacheHierarchy uniqueName="[Table1].[Total Cost]" caption="Total Cost" attribute="1" defaultMemberUniqueName="[Table1].[Total Cost].[All]" allUniqueName="[Table1].[Total Cost].[All]" dimensionUniqueName="[Table1]" displayFolder="" count="0" memberValueDatatype="5" unbalanced="0"/>
    <cacheHierarchy uniqueName="[Table1].[Selling Price]" caption="Selling Price" attribute="1" defaultMemberUniqueName="[Table1].[Selling Price].[All]" allUniqueName="[Table1].[Selling Price].[All]" dimensionUniqueName="[Table1]" displayFolder="" count="0" memberValueDatatype="5" unbalanced="0"/>
    <cacheHierarchy uniqueName="[Table1].[total selling price]" caption="total selling price" attribute="1" defaultMemberUniqueName="[Table1].[total selling price].[All]" allUniqueName="[Table1].[total selling price].[All]" dimensionUniqueName="[Table1]" displayFolder="" count="0" memberValueDatatype="5" unbalanced="0"/>
    <cacheHierarchy uniqueName="[Table1].[CookiesShipped]" caption="CookiesShipped" attribute="1" defaultMemberUniqueName="[Table1].[CookiesShipped].[All]" allUniqueName="[Table1].[CookiesShipped].[All]" dimensionUniqueName="[Table1]" displayFolder="" count="0" memberValueDatatype="20" unbalanced="0"/>
    <cacheHierarchy uniqueName="[Table1].[New Revenue]" caption="New Revenue" attribute="1" defaultMemberUniqueName="[Table1].[New Revenue].[All]" allUniqueName="[Table1].[New Revenue].[All]" dimensionUniqueName="[Table1]" displayFolder="" count="0" memberValueDatatype="5" unbalanced="0"/>
    <cacheHierarchy uniqueName="[Table1].[New Profit]" caption="New Profit" attribute="1" defaultMemberUniqueName="[Table1].[New Profit].[All]" allUniqueName="[Table1].[New Profit].[All]" dimensionUniqueName="[Table1]" displayFolder="" count="0" memberValueDatatype="5" unbalanced="0"/>
    <cacheHierarchy uniqueName="[Table1].[Profit Margin (%)]" caption="Profit Margin (%)" attribute="1" defaultMemberUniqueName="[Table1].[Profit Margin (%)].[All]" allUniqueName="[Table1].[Profit Margin (%)].[All]" dimensionUniqueName="[Table1]" displayFolder="" count="0" memberValueDatatype="5" unbalanced="0"/>
    <cacheHierarchy uniqueName="[Table1].[OrderDate]" caption="OrderDate" attribute="1" time="1" defaultMemberUniqueName="[Table1].[OrderDate].[All]" allUniqueName="[Table1].[OrderDate].[All]" dimensionUniqueName="[Table1]" displayFolder="" count="0" memberValueDatatype="7" unbalanced="0"/>
    <cacheHierarchy uniqueName="[Table1].[OrderDay]" caption="OrderDay" attribute="1" defaultMemberUniqueName="[Table1].[OrderDay].[All]" allUniqueName="[Table1].[OrderDay].[All]" dimensionUniqueName="[Table1]" displayFolder="" count="0" memberValueDatatype="130" unbalanced="0"/>
    <cacheHierarchy uniqueName="[Table1].[Orderweeks]" caption="Orderweeks" attribute="1" defaultMemberUniqueName="[Table1].[Orderweeks].[All]" allUniqueName="[Table1].[Orderweeks].[All]" dimensionUniqueName="[Table1]" displayFolder="" count="2" memberValueDatatype="130" unbalanced="0">
      <fieldsUsage count="2">
        <fieldUsage x="-1"/>
        <fieldUsage x="0"/>
      </fieldsUsage>
    </cacheHierarchy>
    <cacheHierarchy uniqueName="[Table1].[ShipDate]" caption="ShipDate" attribute="1" time="1" defaultMemberUniqueName="[Table1].[ShipDate].[All]" allUniqueName="[Table1].[ShipDate].[All]" dimensionUniqueName="[Table1]" displayFolder="" count="0" memberValueDatatype="7" unbalanced="0"/>
    <cacheHierarchy uniqueName="[Table1].[Shipday]" caption="Shipday" attribute="1" defaultMemberUniqueName="[Table1].[Shipday].[All]" allUniqueName="[Table1].[Shipday].[All]" dimensionUniqueName="[Table1]" displayFolder="" count="0" memberValueDatatype="130" unbalanced="0"/>
    <cacheHierarchy uniqueName="[Table1].[OrderStatus]" caption="OrderStatus" attribute="1" defaultMemberUniqueName="[Table1].[OrderStatus].[All]" allUniqueName="[Table1].[OrderStatus].[All]" dimensionUniqueName="[Table1]" displayFolder="" count="2" memberValueDatatype="130" unbalanced="0"/>
    <cacheHierarchy uniqueName="[Table1].[DateDifference]" caption="DateDifference" attribute="1" defaultMemberUniqueName="[Table1].[DateDifference].[All]" allUniqueName="[Table1].[DateDifference].[All]" dimensionUniqueName="[Table1]" displayFolder="" count="0" memberValueDatatype="20" unbalanced="0"/>
    <cacheHierarchy uniqueName="[Table1].[Target]" caption="Target" attribute="1" defaultMemberUniqueName="[Table1].[Target].[All]" allUniqueName="[Table1].[Target].[All]" dimensionUniqueName="[Table1]" displayFolder="" count="0" memberValueDatatype="130" unbalanced="0"/>
    <cacheHierarchy uniqueName="[Table1].[Order Day]" caption="Order Day" attribute="1" defaultMemberUniqueName="[Table1].[Order Day].[All]" allUniqueName="[Table1].[Order Day].[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OrderID]" caption="Sum of OrderID" measure="1" displayFolder="" measureGroup="Table1" count="0" hidden="1">
      <extLst>
        <ext xmlns:x15="http://schemas.microsoft.com/office/spreadsheetml/2010/11/main" uri="{B97F6D7D-B522-45F9-BDA1-12C45D357490}">
          <x15:cacheHierarchy aggregatedColumn="0"/>
        </ext>
      </extLst>
    </cacheHierarchy>
    <cacheHierarchy uniqueName="[Measures].[Count of OrderID]" caption="Count of OrderID" measure="1" displayFolder="" measureGroup="Table1" count="0" hidden="1">
      <extLst>
        <ext xmlns:x15="http://schemas.microsoft.com/office/spreadsheetml/2010/11/main" uri="{B97F6D7D-B522-45F9-BDA1-12C45D357490}">
          <x15:cacheHierarchy aggregatedColumn="0"/>
        </ext>
      </extLst>
    </cacheHierarchy>
    <cacheHierarchy uniqueName="[Measures].[Sum of New Revenue]" caption="Sum of New Revenue" measure="1" displayFolder="" measureGroup="Table1" count="0" oneField="1" hidden="1">
      <fieldsUsage count="1">
        <fieldUsage x="1"/>
      </fieldsUsage>
      <extLst>
        <ext xmlns:x15="http://schemas.microsoft.com/office/spreadsheetml/2010/11/main" uri="{B97F6D7D-B522-45F9-BDA1-12C45D357490}">
          <x15:cacheHierarchy aggregatedColumn="10"/>
        </ext>
      </extLst>
    </cacheHierarchy>
    <cacheHierarchy uniqueName="[Measures].[Sum of New Profit]" caption="Sum of New Profit" measure="1" displayFolder="" measureGroup="Table1" count="0" hidden="1">
      <extLst>
        <ext xmlns:x15="http://schemas.microsoft.com/office/spreadsheetml/2010/11/main" uri="{B97F6D7D-B522-45F9-BDA1-12C45D357490}">
          <x15:cacheHierarchy aggregatedColumn="11"/>
        </ext>
      </extLst>
    </cacheHierarchy>
    <cacheHierarchy uniqueName="[Measures].[Sum of CookiesShipped]" caption="Sum of CookiesShipped" measure="1" displayFolder="" measureGroup="Table1" count="0" hidden="1">
      <extLst>
        <ext xmlns:x15="http://schemas.microsoft.com/office/spreadsheetml/2010/11/main" uri="{B97F6D7D-B522-45F9-BDA1-12C45D357490}">
          <x15:cacheHierarchy aggregatedColumn="9"/>
        </ext>
      </extLst>
    </cacheHierarchy>
    <cacheHierarchy uniqueName="[Measures].[Sum of DateDifference]" caption="Sum of DateDifference" measure="1" displayFolder="" measureGroup="Table1" count="0" hidden="1">
      <extLst>
        <ext xmlns:x15="http://schemas.microsoft.com/office/spreadsheetml/2010/11/main" uri="{B97F6D7D-B522-45F9-BDA1-12C45D357490}">
          <x15:cacheHierarchy aggregatedColumn="19"/>
        </ext>
      </extLst>
    </cacheHierarchy>
    <cacheHierarchy uniqueName="[Measures].[Average of DateDifference]" caption="Average of DateDifference" measure="1" displayFolder="" measureGroup="Table1" count="0" hidden="1">
      <extLst>
        <ext xmlns:x15="http://schemas.microsoft.com/office/spreadsheetml/2010/11/main" uri="{B97F6D7D-B522-45F9-BDA1-12C45D357490}">
          <x15:cacheHierarchy aggregatedColumn="19"/>
        </ext>
      </extLst>
    </cacheHierarchy>
    <cacheHierarchy uniqueName="[Measures].[Count of OrderStatus]" caption="Count of OrderStatus" measure="1" displayFolder="" measureGroup="Table1" count="0" hidden="1">
      <extLst>
        <ext xmlns:x15="http://schemas.microsoft.com/office/spreadsheetml/2010/11/main" uri="{B97F6D7D-B522-45F9-BDA1-12C45D357490}">
          <x15:cacheHierarchy aggregatedColumn="18"/>
        </ext>
      </extLst>
    </cacheHierarchy>
    <cacheHierarchy uniqueName="[Measures].[Count of City]" caption="Count of City" measure="1" displayFolder="" measureGroup="Table1" count="0" hidden="1">
      <extLst>
        <ext xmlns:x15="http://schemas.microsoft.com/office/spreadsheetml/2010/11/main" uri="{B97F6D7D-B522-45F9-BDA1-12C45D357490}">
          <x15:cacheHierarchy aggregatedColumn="3"/>
        </ext>
      </extLst>
    </cacheHierarchy>
    <cacheHierarchy uniqueName="[Measures].[Count of RestaurantName]" caption="Count of RestaurantName" measure="1" displayFolder="" measureGroup="Table1" count="0" hidden="1">
      <extLst>
        <ext xmlns:x15="http://schemas.microsoft.com/office/spreadsheetml/2010/11/main" uri="{B97F6D7D-B522-45F9-BDA1-12C45D357490}">
          <x15:cacheHierarchy aggregatedColumn="2"/>
        </ext>
      </extLst>
    </cacheHierarchy>
    <cacheHierarchy uniqueName="[Measures].[Distinct Count of RestaurantName]" caption="Distinct Count of RestaurantName" measure="1" displayFolder="" measureGroup="Table1" count="0" hidden="1">
      <extLst>
        <ext xmlns:x15="http://schemas.microsoft.com/office/spreadsheetml/2010/11/main" uri="{B97F6D7D-B522-45F9-BDA1-12C45D357490}">
          <x15:cacheHierarchy aggregatedColumn="2"/>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02.932604861111" backgroundQuery="1" createdVersion="8" refreshedVersion="8" minRefreshableVersion="3" recordCount="0" supportSubquery="1" supportAdvancedDrill="1" xr:uid="{0A10242C-5EE8-49B2-A932-836E65B64BFD}">
  <cacheSource type="external" connectionId="1"/>
  <cacheFields count="3">
    <cacheField name="[Table1].[Orderweeks].[Orderweeks]" caption="Orderweeks" numFmtId="0" hierarchy="15" level="1">
      <sharedItems count="5">
        <s v="Week 1"/>
        <s v="Week 2"/>
        <s v="Week 3"/>
        <s v="Week 4"/>
        <s v="Week 5"/>
      </sharedItems>
    </cacheField>
    <cacheField name="[Measures].[Sum of New Profit]" caption="Sum of New Profit" numFmtId="0" hierarchy="27" level="32767"/>
    <cacheField name="[Table1].[City].[City]" caption="City" numFmtId="0" hierarchy="3" level="1">
      <sharedItems containsSemiMixedTypes="0" containsNonDate="0" containsString="0"/>
    </cacheField>
  </cacheFields>
  <cacheHierarchies count="35">
    <cacheHierarchy uniqueName="[Table1].[OrderID]" caption="OrderID" attribute="1" defaultMemberUniqueName="[Table1].[OrderID].[All]" allUniqueName="[Table1].[OrderID].[All]" dimensionUniqueName="[Table1]" displayFolder="" count="0" memberValueDatatype="20" unbalanced="0"/>
    <cacheHierarchy uniqueName="[Table1].[RestaurantID]" caption="RestaurantID" attribute="1" defaultMemberUniqueName="[Table1].[RestaurantID].[All]" allUniqueName="[Table1].[RestaurantID].[All]" dimensionUniqueName="[Table1]" displayFolder="" count="0" memberValueDatatype="20" unbalanced="0"/>
    <cacheHierarchy uniqueName="[Table1].[RestaurantName]" caption="RestaurantName" attribute="1" defaultMemberUniqueName="[Table1].[RestaurantName].[All]" allUniqueName="[Table1].[RestaurantName].[All]" dimensionUniqueName="[Table1]" displayFolder="" count="2" memberValueDatatype="130" unbalanced="0"/>
    <cacheHierarchy uniqueName="[Table1].[City]" caption="City" attribute="1" defaultMemberUniqueName="[Table1].[City].[All]" allUniqueName="[Table1].[City].[All]" dimensionUniqueName="[Table1]" displayFolder="" count="2" memberValueDatatype="130" unbalanced="0">
      <fieldsUsage count="2">
        <fieldUsage x="-1"/>
        <fieldUsage x="2"/>
      </fieldsUsage>
    </cacheHierarchy>
    <cacheHierarchy uniqueName="[Table1].[Markup (%)]" caption="Markup (%)" attribute="1" defaultMemberUniqueName="[Table1].[Markup (%)].[All]" allUniqueName="[Table1].[Markup (%)].[All]" dimensionUniqueName="[Table1]" displayFolder="" count="0" memberValueDatatype="5" unbalanced="0"/>
    <cacheHierarchy uniqueName="[Table1].[Cost]" caption="Cost" attribute="1" defaultMemberUniqueName="[Table1].[Cost].[All]" allUniqueName="[Table1].[Cost].[All]" dimensionUniqueName="[Table1]" displayFolder="" count="0" memberValueDatatype="5" unbalanced="0"/>
    <cacheHierarchy uniqueName="[Table1].[Total Cost]" caption="Total Cost" attribute="1" defaultMemberUniqueName="[Table1].[Total Cost].[All]" allUniqueName="[Table1].[Total Cost].[All]" dimensionUniqueName="[Table1]" displayFolder="" count="0" memberValueDatatype="5" unbalanced="0"/>
    <cacheHierarchy uniqueName="[Table1].[Selling Price]" caption="Selling Price" attribute="1" defaultMemberUniqueName="[Table1].[Selling Price].[All]" allUniqueName="[Table1].[Selling Price].[All]" dimensionUniqueName="[Table1]" displayFolder="" count="0" memberValueDatatype="5" unbalanced="0"/>
    <cacheHierarchy uniqueName="[Table1].[total selling price]" caption="total selling price" attribute="1" defaultMemberUniqueName="[Table1].[total selling price].[All]" allUniqueName="[Table1].[total selling price].[All]" dimensionUniqueName="[Table1]" displayFolder="" count="0" memberValueDatatype="5" unbalanced="0"/>
    <cacheHierarchy uniqueName="[Table1].[CookiesShipped]" caption="CookiesShipped" attribute="1" defaultMemberUniqueName="[Table1].[CookiesShipped].[All]" allUniqueName="[Table1].[CookiesShipped].[All]" dimensionUniqueName="[Table1]" displayFolder="" count="0" memberValueDatatype="20" unbalanced="0"/>
    <cacheHierarchy uniqueName="[Table1].[New Revenue]" caption="New Revenue" attribute="1" defaultMemberUniqueName="[Table1].[New Revenue].[All]" allUniqueName="[Table1].[New Revenue].[All]" dimensionUniqueName="[Table1]" displayFolder="" count="0" memberValueDatatype="5" unbalanced="0"/>
    <cacheHierarchy uniqueName="[Table1].[New Profit]" caption="New Profit" attribute="1" defaultMemberUniqueName="[Table1].[New Profit].[All]" allUniqueName="[Table1].[New Profit].[All]" dimensionUniqueName="[Table1]" displayFolder="" count="0" memberValueDatatype="5" unbalanced="0"/>
    <cacheHierarchy uniqueName="[Table1].[Profit Margin (%)]" caption="Profit Margin (%)" attribute="1" defaultMemberUniqueName="[Table1].[Profit Margin (%)].[All]" allUniqueName="[Table1].[Profit Margin (%)].[All]" dimensionUniqueName="[Table1]" displayFolder="" count="0" memberValueDatatype="5" unbalanced="0"/>
    <cacheHierarchy uniqueName="[Table1].[OrderDate]" caption="OrderDate" attribute="1" time="1" defaultMemberUniqueName="[Table1].[OrderDate].[All]" allUniqueName="[Table1].[OrderDate].[All]" dimensionUniqueName="[Table1]" displayFolder="" count="0" memberValueDatatype="7" unbalanced="0"/>
    <cacheHierarchy uniqueName="[Table1].[OrderDay]" caption="OrderDay" attribute="1" defaultMemberUniqueName="[Table1].[OrderDay].[All]" allUniqueName="[Table1].[OrderDay].[All]" dimensionUniqueName="[Table1]" displayFolder="" count="0" memberValueDatatype="130" unbalanced="0"/>
    <cacheHierarchy uniqueName="[Table1].[Orderweeks]" caption="Orderweeks" attribute="1" defaultMemberUniqueName="[Table1].[Orderweeks].[All]" allUniqueName="[Table1].[Orderweeks].[All]" dimensionUniqueName="[Table1]" displayFolder="" count="2" memberValueDatatype="130" unbalanced="0">
      <fieldsUsage count="2">
        <fieldUsage x="-1"/>
        <fieldUsage x="0"/>
      </fieldsUsage>
    </cacheHierarchy>
    <cacheHierarchy uniqueName="[Table1].[ShipDate]" caption="ShipDate" attribute="1" time="1" defaultMemberUniqueName="[Table1].[ShipDate].[All]" allUniqueName="[Table1].[ShipDate].[All]" dimensionUniqueName="[Table1]" displayFolder="" count="0" memberValueDatatype="7" unbalanced="0"/>
    <cacheHierarchy uniqueName="[Table1].[Shipday]" caption="Shipday" attribute="1" defaultMemberUniqueName="[Table1].[Shipday].[All]" allUniqueName="[Table1].[Shipday].[All]" dimensionUniqueName="[Table1]" displayFolder="" count="0" memberValueDatatype="130" unbalanced="0"/>
    <cacheHierarchy uniqueName="[Table1].[OrderStatus]" caption="OrderStatus" attribute="1" defaultMemberUniqueName="[Table1].[OrderStatus].[All]" allUniqueName="[Table1].[OrderStatus].[All]" dimensionUniqueName="[Table1]" displayFolder="" count="2" memberValueDatatype="130" unbalanced="0"/>
    <cacheHierarchy uniqueName="[Table1].[DateDifference]" caption="DateDifference" attribute="1" defaultMemberUniqueName="[Table1].[DateDifference].[All]" allUniqueName="[Table1].[DateDifference].[All]" dimensionUniqueName="[Table1]" displayFolder="" count="0" memberValueDatatype="20" unbalanced="0"/>
    <cacheHierarchy uniqueName="[Table1].[Target]" caption="Target" attribute="1" defaultMemberUniqueName="[Table1].[Target].[All]" allUniqueName="[Table1].[Target].[All]" dimensionUniqueName="[Table1]" displayFolder="" count="0" memberValueDatatype="130" unbalanced="0"/>
    <cacheHierarchy uniqueName="[Table1].[Order Day]" caption="Order Day" attribute="1" defaultMemberUniqueName="[Table1].[Order Day].[All]" allUniqueName="[Table1].[Order Day].[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OrderID]" caption="Sum of OrderID" measure="1" displayFolder="" measureGroup="Table1" count="0" hidden="1">
      <extLst>
        <ext xmlns:x15="http://schemas.microsoft.com/office/spreadsheetml/2010/11/main" uri="{B97F6D7D-B522-45F9-BDA1-12C45D357490}">
          <x15:cacheHierarchy aggregatedColumn="0"/>
        </ext>
      </extLst>
    </cacheHierarchy>
    <cacheHierarchy uniqueName="[Measures].[Count of OrderID]" caption="Count of OrderID" measure="1" displayFolder="" measureGroup="Table1" count="0" hidden="1">
      <extLst>
        <ext xmlns:x15="http://schemas.microsoft.com/office/spreadsheetml/2010/11/main" uri="{B97F6D7D-B522-45F9-BDA1-12C45D357490}">
          <x15:cacheHierarchy aggregatedColumn="0"/>
        </ext>
      </extLst>
    </cacheHierarchy>
    <cacheHierarchy uniqueName="[Measures].[Sum of New Revenue]" caption="Sum of New Revenue" measure="1" displayFolder="" measureGroup="Table1" count="0" hidden="1">
      <extLst>
        <ext xmlns:x15="http://schemas.microsoft.com/office/spreadsheetml/2010/11/main" uri="{B97F6D7D-B522-45F9-BDA1-12C45D357490}">
          <x15:cacheHierarchy aggregatedColumn="10"/>
        </ext>
      </extLst>
    </cacheHierarchy>
    <cacheHierarchy uniqueName="[Measures].[Sum of New Profit]" caption="Sum of New Profit" measure="1" displayFolder="" measureGroup="Table1" count="0" oneField="1" hidden="1">
      <fieldsUsage count="1">
        <fieldUsage x="1"/>
      </fieldsUsage>
      <extLst>
        <ext xmlns:x15="http://schemas.microsoft.com/office/spreadsheetml/2010/11/main" uri="{B97F6D7D-B522-45F9-BDA1-12C45D357490}">
          <x15:cacheHierarchy aggregatedColumn="11"/>
        </ext>
      </extLst>
    </cacheHierarchy>
    <cacheHierarchy uniqueName="[Measures].[Sum of CookiesShipped]" caption="Sum of CookiesShipped" measure="1" displayFolder="" measureGroup="Table1" count="0" hidden="1">
      <extLst>
        <ext xmlns:x15="http://schemas.microsoft.com/office/spreadsheetml/2010/11/main" uri="{B97F6D7D-B522-45F9-BDA1-12C45D357490}">
          <x15:cacheHierarchy aggregatedColumn="9"/>
        </ext>
      </extLst>
    </cacheHierarchy>
    <cacheHierarchy uniqueName="[Measures].[Sum of DateDifference]" caption="Sum of DateDifference" measure="1" displayFolder="" measureGroup="Table1" count="0" hidden="1">
      <extLst>
        <ext xmlns:x15="http://schemas.microsoft.com/office/spreadsheetml/2010/11/main" uri="{B97F6D7D-B522-45F9-BDA1-12C45D357490}">
          <x15:cacheHierarchy aggregatedColumn="19"/>
        </ext>
      </extLst>
    </cacheHierarchy>
    <cacheHierarchy uniqueName="[Measures].[Average of DateDifference]" caption="Average of DateDifference" measure="1" displayFolder="" measureGroup="Table1" count="0" hidden="1">
      <extLst>
        <ext xmlns:x15="http://schemas.microsoft.com/office/spreadsheetml/2010/11/main" uri="{B97F6D7D-B522-45F9-BDA1-12C45D357490}">
          <x15:cacheHierarchy aggregatedColumn="19"/>
        </ext>
      </extLst>
    </cacheHierarchy>
    <cacheHierarchy uniqueName="[Measures].[Count of OrderStatus]" caption="Count of OrderStatus" measure="1" displayFolder="" measureGroup="Table1" count="0" hidden="1">
      <extLst>
        <ext xmlns:x15="http://schemas.microsoft.com/office/spreadsheetml/2010/11/main" uri="{B97F6D7D-B522-45F9-BDA1-12C45D357490}">
          <x15:cacheHierarchy aggregatedColumn="18"/>
        </ext>
      </extLst>
    </cacheHierarchy>
    <cacheHierarchy uniqueName="[Measures].[Count of City]" caption="Count of City" measure="1" displayFolder="" measureGroup="Table1" count="0" hidden="1">
      <extLst>
        <ext xmlns:x15="http://schemas.microsoft.com/office/spreadsheetml/2010/11/main" uri="{B97F6D7D-B522-45F9-BDA1-12C45D357490}">
          <x15:cacheHierarchy aggregatedColumn="3"/>
        </ext>
      </extLst>
    </cacheHierarchy>
    <cacheHierarchy uniqueName="[Measures].[Count of RestaurantName]" caption="Count of RestaurantName" measure="1" displayFolder="" measureGroup="Table1" count="0" hidden="1">
      <extLst>
        <ext xmlns:x15="http://schemas.microsoft.com/office/spreadsheetml/2010/11/main" uri="{B97F6D7D-B522-45F9-BDA1-12C45D357490}">
          <x15:cacheHierarchy aggregatedColumn="2"/>
        </ext>
      </extLst>
    </cacheHierarchy>
    <cacheHierarchy uniqueName="[Measures].[Distinct Count of RestaurantName]" caption="Distinct Count of RestaurantName" measure="1" displayFolder="" measureGroup="Table1" count="0" hidden="1">
      <extLst>
        <ext xmlns:x15="http://schemas.microsoft.com/office/spreadsheetml/2010/11/main" uri="{B97F6D7D-B522-45F9-BDA1-12C45D357490}">
          <x15:cacheHierarchy aggregatedColumn="2"/>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02.932605439812" backgroundQuery="1" createdVersion="8" refreshedVersion="8" minRefreshableVersion="3" recordCount="0" supportSubquery="1" supportAdvancedDrill="1" xr:uid="{E74971F3-8F5A-4B04-9962-E60BA92907A0}">
  <cacheSource type="external" connectionId="1"/>
  <cacheFields count="3">
    <cacheField name="[Table1].[OrderStatus].[OrderStatus]" caption="OrderStatus" numFmtId="0" hierarchy="18" level="1">
      <sharedItems count="3">
        <s v="Cancelled"/>
        <s v="Pending"/>
        <s v="Shipped"/>
      </sharedItems>
    </cacheField>
    <cacheField name="[Measures].[Count of OrderID]" caption="Count of OrderID" numFmtId="0" hierarchy="25" level="32767"/>
    <cacheField name="[Table1].[City].[City]" caption="City" numFmtId="0" hierarchy="3" level="1">
      <sharedItems containsSemiMixedTypes="0" containsNonDate="0" containsString="0"/>
    </cacheField>
  </cacheFields>
  <cacheHierarchies count="35">
    <cacheHierarchy uniqueName="[Table1].[OrderID]" caption="OrderID" attribute="1" defaultMemberUniqueName="[Table1].[OrderID].[All]" allUniqueName="[Table1].[OrderID].[All]" dimensionUniqueName="[Table1]" displayFolder="" count="0" memberValueDatatype="20" unbalanced="0"/>
    <cacheHierarchy uniqueName="[Table1].[RestaurantID]" caption="RestaurantID" attribute="1" defaultMemberUniqueName="[Table1].[RestaurantID].[All]" allUniqueName="[Table1].[RestaurantID].[All]" dimensionUniqueName="[Table1]" displayFolder="" count="0" memberValueDatatype="20" unbalanced="0"/>
    <cacheHierarchy uniqueName="[Table1].[RestaurantName]" caption="RestaurantName" attribute="1" defaultMemberUniqueName="[Table1].[RestaurantName].[All]" allUniqueName="[Table1].[RestaurantName].[All]" dimensionUniqueName="[Table1]" displayFolder="" count="2" memberValueDatatype="130" unbalanced="0"/>
    <cacheHierarchy uniqueName="[Table1].[City]" caption="City" attribute="1" defaultMemberUniqueName="[Table1].[City].[All]" allUniqueName="[Table1].[City].[All]" dimensionUniqueName="[Table1]" displayFolder="" count="2" memberValueDatatype="130" unbalanced="0">
      <fieldsUsage count="2">
        <fieldUsage x="-1"/>
        <fieldUsage x="2"/>
      </fieldsUsage>
    </cacheHierarchy>
    <cacheHierarchy uniqueName="[Table1].[Markup (%)]" caption="Markup (%)" attribute="1" defaultMemberUniqueName="[Table1].[Markup (%)].[All]" allUniqueName="[Table1].[Markup (%)].[All]" dimensionUniqueName="[Table1]" displayFolder="" count="0" memberValueDatatype="5" unbalanced="0"/>
    <cacheHierarchy uniqueName="[Table1].[Cost]" caption="Cost" attribute="1" defaultMemberUniqueName="[Table1].[Cost].[All]" allUniqueName="[Table1].[Cost].[All]" dimensionUniqueName="[Table1]" displayFolder="" count="0" memberValueDatatype="5" unbalanced="0"/>
    <cacheHierarchy uniqueName="[Table1].[Total Cost]" caption="Total Cost" attribute="1" defaultMemberUniqueName="[Table1].[Total Cost].[All]" allUniqueName="[Table1].[Total Cost].[All]" dimensionUniqueName="[Table1]" displayFolder="" count="0" memberValueDatatype="5" unbalanced="0"/>
    <cacheHierarchy uniqueName="[Table1].[Selling Price]" caption="Selling Price" attribute="1" defaultMemberUniqueName="[Table1].[Selling Price].[All]" allUniqueName="[Table1].[Selling Price].[All]" dimensionUniqueName="[Table1]" displayFolder="" count="0" memberValueDatatype="5" unbalanced="0"/>
    <cacheHierarchy uniqueName="[Table1].[total selling price]" caption="total selling price" attribute="1" defaultMemberUniqueName="[Table1].[total selling price].[All]" allUniqueName="[Table1].[total selling price].[All]" dimensionUniqueName="[Table1]" displayFolder="" count="0" memberValueDatatype="5" unbalanced="0"/>
    <cacheHierarchy uniqueName="[Table1].[CookiesShipped]" caption="CookiesShipped" attribute="1" defaultMemberUniqueName="[Table1].[CookiesShipped].[All]" allUniqueName="[Table1].[CookiesShipped].[All]" dimensionUniqueName="[Table1]" displayFolder="" count="0" memberValueDatatype="20" unbalanced="0"/>
    <cacheHierarchy uniqueName="[Table1].[New Revenue]" caption="New Revenue" attribute="1" defaultMemberUniqueName="[Table1].[New Revenue].[All]" allUniqueName="[Table1].[New Revenue].[All]" dimensionUniqueName="[Table1]" displayFolder="" count="0" memberValueDatatype="5" unbalanced="0"/>
    <cacheHierarchy uniqueName="[Table1].[New Profit]" caption="New Profit" attribute="1" defaultMemberUniqueName="[Table1].[New Profit].[All]" allUniqueName="[Table1].[New Profit].[All]" dimensionUniqueName="[Table1]" displayFolder="" count="0" memberValueDatatype="5" unbalanced="0"/>
    <cacheHierarchy uniqueName="[Table1].[Profit Margin (%)]" caption="Profit Margin (%)" attribute="1" defaultMemberUniqueName="[Table1].[Profit Margin (%)].[All]" allUniqueName="[Table1].[Profit Margin (%)].[All]" dimensionUniqueName="[Table1]" displayFolder="" count="0" memberValueDatatype="5" unbalanced="0"/>
    <cacheHierarchy uniqueName="[Table1].[OrderDate]" caption="OrderDate" attribute="1" time="1" defaultMemberUniqueName="[Table1].[OrderDate].[All]" allUniqueName="[Table1].[OrderDate].[All]" dimensionUniqueName="[Table1]" displayFolder="" count="0" memberValueDatatype="7" unbalanced="0"/>
    <cacheHierarchy uniqueName="[Table1].[OrderDay]" caption="OrderDay" attribute="1" defaultMemberUniqueName="[Table1].[OrderDay].[All]" allUniqueName="[Table1].[OrderDay].[All]" dimensionUniqueName="[Table1]" displayFolder="" count="0" memberValueDatatype="130" unbalanced="0"/>
    <cacheHierarchy uniqueName="[Table1].[Orderweeks]" caption="Orderweeks" attribute="1" defaultMemberUniqueName="[Table1].[Orderweeks].[All]" allUniqueName="[Table1].[Orderweeks].[All]" dimensionUniqueName="[Table1]" displayFolder="" count="0" memberValueDatatype="130" unbalanced="0"/>
    <cacheHierarchy uniqueName="[Table1].[ShipDate]" caption="ShipDate" attribute="1" time="1" defaultMemberUniqueName="[Table1].[ShipDate].[All]" allUniqueName="[Table1].[ShipDate].[All]" dimensionUniqueName="[Table1]" displayFolder="" count="0" memberValueDatatype="7" unbalanced="0"/>
    <cacheHierarchy uniqueName="[Table1].[Shipday]" caption="Shipday" attribute="1" defaultMemberUniqueName="[Table1].[Shipday].[All]" allUniqueName="[Table1].[Shipday].[All]" dimensionUniqueName="[Table1]" displayFolder="" count="0" memberValueDatatype="130" unbalanced="0"/>
    <cacheHierarchy uniqueName="[Table1].[OrderStatus]" caption="OrderStatus" attribute="1" defaultMemberUniqueName="[Table1].[OrderStatus].[All]" allUniqueName="[Table1].[OrderStatus].[All]" dimensionUniqueName="[Table1]" displayFolder="" count="2" memberValueDatatype="130" unbalanced="0">
      <fieldsUsage count="2">
        <fieldUsage x="-1"/>
        <fieldUsage x="0"/>
      </fieldsUsage>
    </cacheHierarchy>
    <cacheHierarchy uniqueName="[Table1].[DateDifference]" caption="DateDifference" attribute="1" defaultMemberUniqueName="[Table1].[DateDifference].[All]" allUniqueName="[Table1].[DateDifference].[All]" dimensionUniqueName="[Table1]" displayFolder="" count="0" memberValueDatatype="20" unbalanced="0"/>
    <cacheHierarchy uniqueName="[Table1].[Target]" caption="Target" attribute="1" defaultMemberUniqueName="[Table1].[Target].[All]" allUniqueName="[Table1].[Target].[All]" dimensionUniqueName="[Table1]" displayFolder="" count="0" memberValueDatatype="130" unbalanced="0"/>
    <cacheHierarchy uniqueName="[Table1].[Order Day]" caption="Order Day" attribute="1" defaultMemberUniqueName="[Table1].[Order Day].[All]" allUniqueName="[Table1].[Order Day].[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OrderID]" caption="Sum of OrderID" measure="1" displayFolder="" measureGroup="Table1" count="0" hidden="1">
      <extLst>
        <ext xmlns:x15="http://schemas.microsoft.com/office/spreadsheetml/2010/11/main" uri="{B97F6D7D-B522-45F9-BDA1-12C45D357490}">
          <x15:cacheHierarchy aggregatedColumn="0"/>
        </ext>
      </extLst>
    </cacheHierarchy>
    <cacheHierarchy uniqueName="[Measures].[Count of OrderID]" caption="Count of OrderID" measure="1" displayFolder="" measureGroup="Table1"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New Revenue]" caption="Sum of New Revenue" measure="1" displayFolder="" measureGroup="Table1" count="0" hidden="1">
      <extLst>
        <ext xmlns:x15="http://schemas.microsoft.com/office/spreadsheetml/2010/11/main" uri="{B97F6D7D-B522-45F9-BDA1-12C45D357490}">
          <x15:cacheHierarchy aggregatedColumn="10"/>
        </ext>
      </extLst>
    </cacheHierarchy>
    <cacheHierarchy uniqueName="[Measures].[Sum of New Profit]" caption="Sum of New Profit" measure="1" displayFolder="" measureGroup="Table1" count="0" hidden="1">
      <extLst>
        <ext xmlns:x15="http://schemas.microsoft.com/office/spreadsheetml/2010/11/main" uri="{B97F6D7D-B522-45F9-BDA1-12C45D357490}">
          <x15:cacheHierarchy aggregatedColumn="11"/>
        </ext>
      </extLst>
    </cacheHierarchy>
    <cacheHierarchy uniqueName="[Measures].[Sum of CookiesShipped]" caption="Sum of CookiesShipped" measure="1" displayFolder="" measureGroup="Table1" count="0" hidden="1">
      <extLst>
        <ext xmlns:x15="http://schemas.microsoft.com/office/spreadsheetml/2010/11/main" uri="{B97F6D7D-B522-45F9-BDA1-12C45D357490}">
          <x15:cacheHierarchy aggregatedColumn="9"/>
        </ext>
      </extLst>
    </cacheHierarchy>
    <cacheHierarchy uniqueName="[Measures].[Sum of DateDifference]" caption="Sum of DateDifference" measure="1" displayFolder="" measureGroup="Table1" count="0" hidden="1">
      <extLst>
        <ext xmlns:x15="http://schemas.microsoft.com/office/spreadsheetml/2010/11/main" uri="{B97F6D7D-B522-45F9-BDA1-12C45D357490}">
          <x15:cacheHierarchy aggregatedColumn="19"/>
        </ext>
      </extLst>
    </cacheHierarchy>
    <cacheHierarchy uniqueName="[Measures].[Average of DateDifference]" caption="Average of DateDifference" measure="1" displayFolder="" measureGroup="Table1" count="0" hidden="1">
      <extLst>
        <ext xmlns:x15="http://schemas.microsoft.com/office/spreadsheetml/2010/11/main" uri="{B97F6D7D-B522-45F9-BDA1-12C45D357490}">
          <x15:cacheHierarchy aggregatedColumn="19"/>
        </ext>
      </extLst>
    </cacheHierarchy>
    <cacheHierarchy uniqueName="[Measures].[Count of OrderStatus]" caption="Count of OrderStatus" measure="1" displayFolder="" measureGroup="Table1" count="0" hidden="1">
      <extLst>
        <ext xmlns:x15="http://schemas.microsoft.com/office/spreadsheetml/2010/11/main" uri="{B97F6D7D-B522-45F9-BDA1-12C45D357490}">
          <x15:cacheHierarchy aggregatedColumn="18"/>
        </ext>
      </extLst>
    </cacheHierarchy>
    <cacheHierarchy uniqueName="[Measures].[Count of City]" caption="Count of City" measure="1" displayFolder="" measureGroup="Table1" count="0" hidden="1">
      <extLst>
        <ext xmlns:x15="http://schemas.microsoft.com/office/spreadsheetml/2010/11/main" uri="{B97F6D7D-B522-45F9-BDA1-12C45D357490}">
          <x15:cacheHierarchy aggregatedColumn="3"/>
        </ext>
      </extLst>
    </cacheHierarchy>
    <cacheHierarchy uniqueName="[Measures].[Count of RestaurantName]" caption="Count of RestaurantName" measure="1" displayFolder="" measureGroup="Table1" count="0" hidden="1">
      <extLst>
        <ext xmlns:x15="http://schemas.microsoft.com/office/spreadsheetml/2010/11/main" uri="{B97F6D7D-B522-45F9-BDA1-12C45D357490}">
          <x15:cacheHierarchy aggregatedColumn="2"/>
        </ext>
      </extLst>
    </cacheHierarchy>
    <cacheHierarchy uniqueName="[Measures].[Distinct Count of RestaurantName]" caption="Distinct Count of RestaurantName" measure="1" displayFolder="" measureGroup="Table1" count="0" hidden="1">
      <extLst>
        <ext xmlns:x15="http://schemas.microsoft.com/office/spreadsheetml/2010/11/main" uri="{B97F6D7D-B522-45F9-BDA1-12C45D357490}">
          <x15:cacheHierarchy aggregatedColumn="2"/>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02.932605902781" backgroundQuery="1" createdVersion="8" refreshedVersion="8" minRefreshableVersion="3" recordCount="0" supportSubquery="1" supportAdvancedDrill="1" xr:uid="{48CA9F50-A0EC-4C71-9CE8-EC5F51C3F081}">
  <cacheSource type="external" connectionId="1"/>
  <cacheFields count="3">
    <cacheField name="[Table1].[OrderStatus].[OrderStatus]" caption="OrderStatus" numFmtId="0" hierarchy="18" level="1">
      <sharedItems count="3">
        <s v="Cancelled"/>
        <s v="Pending"/>
        <s v="Shipped"/>
      </sharedItems>
    </cacheField>
    <cacheField name="[Measures].[Average of DateDifference]" caption="Average of DateDifference" numFmtId="0" hierarchy="30" level="32767"/>
    <cacheField name="[Table1].[City].[City]" caption="City" numFmtId="0" hierarchy="3" level="1">
      <sharedItems containsSemiMixedTypes="0" containsNonDate="0" containsString="0"/>
    </cacheField>
  </cacheFields>
  <cacheHierarchies count="35">
    <cacheHierarchy uniqueName="[Table1].[OrderID]" caption="OrderID" attribute="1" defaultMemberUniqueName="[Table1].[OrderID].[All]" allUniqueName="[Table1].[OrderID].[All]" dimensionUniqueName="[Table1]" displayFolder="" count="0" memberValueDatatype="20" unbalanced="0"/>
    <cacheHierarchy uniqueName="[Table1].[RestaurantID]" caption="RestaurantID" attribute="1" defaultMemberUniqueName="[Table1].[RestaurantID].[All]" allUniqueName="[Table1].[RestaurantID].[All]" dimensionUniqueName="[Table1]" displayFolder="" count="0" memberValueDatatype="20" unbalanced="0"/>
    <cacheHierarchy uniqueName="[Table1].[RestaurantName]" caption="RestaurantName" attribute="1" defaultMemberUniqueName="[Table1].[RestaurantName].[All]" allUniqueName="[Table1].[RestaurantName].[All]" dimensionUniqueName="[Table1]" displayFolder="" count="2" memberValueDatatype="130" unbalanced="0"/>
    <cacheHierarchy uniqueName="[Table1].[City]" caption="City" attribute="1" defaultMemberUniqueName="[Table1].[City].[All]" allUniqueName="[Table1].[City].[All]" dimensionUniqueName="[Table1]" displayFolder="" count="2" memberValueDatatype="130" unbalanced="0">
      <fieldsUsage count="2">
        <fieldUsage x="-1"/>
        <fieldUsage x="2"/>
      </fieldsUsage>
    </cacheHierarchy>
    <cacheHierarchy uniqueName="[Table1].[Markup (%)]" caption="Markup (%)" attribute="1" defaultMemberUniqueName="[Table1].[Markup (%)].[All]" allUniqueName="[Table1].[Markup (%)].[All]" dimensionUniqueName="[Table1]" displayFolder="" count="0" memberValueDatatype="5" unbalanced="0"/>
    <cacheHierarchy uniqueName="[Table1].[Cost]" caption="Cost" attribute="1" defaultMemberUniqueName="[Table1].[Cost].[All]" allUniqueName="[Table1].[Cost].[All]" dimensionUniqueName="[Table1]" displayFolder="" count="0" memberValueDatatype="5" unbalanced="0"/>
    <cacheHierarchy uniqueName="[Table1].[Total Cost]" caption="Total Cost" attribute="1" defaultMemberUniqueName="[Table1].[Total Cost].[All]" allUniqueName="[Table1].[Total Cost].[All]" dimensionUniqueName="[Table1]" displayFolder="" count="0" memberValueDatatype="5" unbalanced="0"/>
    <cacheHierarchy uniqueName="[Table1].[Selling Price]" caption="Selling Price" attribute="1" defaultMemberUniqueName="[Table1].[Selling Price].[All]" allUniqueName="[Table1].[Selling Price].[All]" dimensionUniqueName="[Table1]" displayFolder="" count="0" memberValueDatatype="5" unbalanced="0"/>
    <cacheHierarchy uniqueName="[Table1].[total selling price]" caption="total selling price" attribute="1" defaultMemberUniqueName="[Table1].[total selling price].[All]" allUniqueName="[Table1].[total selling price].[All]" dimensionUniqueName="[Table1]" displayFolder="" count="0" memberValueDatatype="5" unbalanced="0"/>
    <cacheHierarchy uniqueName="[Table1].[CookiesShipped]" caption="CookiesShipped" attribute="1" defaultMemberUniqueName="[Table1].[CookiesShipped].[All]" allUniqueName="[Table1].[CookiesShipped].[All]" dimensionUniqueName="[Table1]" displayFolder="" count="0" memberValueDatatype="20" unbalanced="0"/>
    <cacheHierarchy uniqueName="[Table1].[New Revenue]" caption="New Revenue" attribute="1" defaultMemberUniqueName="[Table1].[New Revenue].[All]" allUniqueName="[Table1].[New Revenue].[All]" dimensionUniqueName="[Table1]" displayFolder="" count="0" memberValueDatatype="5" unbalanced="0"/>
    <cacheHierarchy uniqueName="[Table1].[New Profit]" caption="New Profit" attribute="1" defaultMemberUniqueName="[Table1].[New Profit].[All]" allUniqueName="[Table1].[New Profit].[All]" dimensionUniqueName="[Table1]" displayFolder="" count="0" memberValueDatatype="5" unbalanced="0"/>
    <cacheHierarchy uniqueName="[Table1].[Profit Margin (%)]" caption="Profit Margin (%)" attribute="1" defaultMemberUniqueName="[Table1].[Profit Margin (%)].[All]" allUniqueName="[Table1].[Profit Margin (%)].[All]" dimensionUniqueName="[Table1]" displayFolder="" count="0" memberValueDatatype="5" unbalanced="0"/>
    <cacheHierarchy uniqueName="[Table1].[OrderDate]" caption="OrderDate" attribute="1" time="1" defaultMemberUniqueName="[Table1].[OrderDate].[All]" allUniqueName="[Table1].[OrderDate].[All]" dimensionUniqueName="[Table1]" displayFolder="" count="0" memberValueDatatype="7" unbalanced="0"/>
    <cacheHierarchy uniqueName="[Table1].[OrderDay]" caption="OrderDay" attribute="1" defaultMemberUniqueName="[Table1].[OrderDay].[All]" allUniqueName="[Table1].[OrderDay].[All]" dimensionUniqueName="[Table1]" displayFolder="" count="0" memberValueDatatype="130" unbalanced="0"/>
    <cacheHierarchy uniqueName="[Table1].[Orderweeks]" caption="Orderweeks" attribute="1" defaultMemberUniqueName="[Table1].[Orderweeks].[All]" allUniqueName="[Table1].[Orderweeks].[All]" dimensionUniqueName="[Table1]" displayFolder="" count="0" memberValueDatatype="130" unbalanced="0"/>
    <cacheHierarchy uniqueName="[Table1].[ShipDate]" caption="ShipDate" attribute="1" time="1" defaultMemberUniqueName="[Table1].[ShipDate].[All]" allUniqueName="[Table1].[ShipDate].[All]" dimensionUniqueName="[Table1]" displayFolder="" count="0" memberValueDatatype="7" unbalanced="0"/>
    <cacheHierarchy uniqueName="[Table1].[Shipday]" caption="Shipday" attribute="1" defaultMemberUniqueName="[Table1].[Shipday].[All]" allUniqueName="[Table1].[Shipday].[All]" dimensionUniqueName="[Table1]" displayFolder="" count="0" memberValueDatatype="130" unbalanced="0"/>
    <cacheHierarchy uniqueName="[Table1].[OrderStatus]" caption="OrderStatus" attribute="1" defaultMemberUniqueName="[Table1].[OrderStatus].[All]" allUniqueName="[Table1].[OrderStatus].[All]" dimensionUniqueName="[Table1]" displayFolder="" count="2" memberValueDatatype="130" unbalanced="0">
      <fieldsUsage count="2">
        <fieldUsage x="-1"/>
        <fieldUsage x="0"/>
      </fieldsUsage>
    </cacheHierarchy>
    <cacheHierarchy uniqueName="[Table1].[DateDifference]" caption="DateDifference" attribute="1" defaultMemberUniqueName="[Table1].[DateDifference].[All]" allUniqueName="[Table1].[DateDifference].[All]" dimensionUniqueName="[Table1]" displayFolder="" count="0" memberValueDatatype="20" unbalanced="0"/>
    <cacheHierarchy uniqueName="[Table1].[Target]" caption="Target" attribute="1" defaultMemberUniqueName="[Table1].[Target].[All]" allUniqueName="[Table1].[Target].[All]" dimensionUniqueName="[Table1]" displayFolder="" count="0" memberValueDatatype="130" unbalanced="0"/>
    <cacheHierarchy uniqueName="[Table1].[Order Day]" caption="Order Day" attribute="1" defaultMemberUniqueName="[Table1].[Order Day].[All]" allUniqueName="[Table1].[Order Day].[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OrderID]" caption="Sum of OrderID" measure="1" displayFolder="" measureGroup="Table1" count="0" hidden="1">
      <extLst>
        <ext xmlns:x15="http://schemas.microsoft.com/office/spreadsheetml/2010/11/main" uri="{B97F6D7D-B522-45F9-BDA1-12C45D357490}">
          <x15:cacheHierarchy aggregatedColumn="0"/>
        </ext>
      </extLst>
    </cacheHierarchy>
    <cacheHierarchy uniqueName="[Measures].[Count of OrderID]" caption="Count of OrderID" measure="1" displayFolder="" measureGroup="Table1" count="0" hidden="1">
      <extLst>
        <ext xmlns:x15="http://schemas.microsoft.com/office/spreadsheetml/2010/11/main" uri="{B97F6D7D-B522-45F9-BDA1-12C45D357490}">
          <x15:cacheHierarchy aggregatedColumn="0"/>
        </ext>
      </extLst>
    </cacheHierarchy>
    <cacheHierarchy uniqueName="[Measures].[Sum of New Revenue]" caption="Sum of New Revenue" measure="1" displayFolder="" measureGroup="Table1" count="0" hidden="1">
      <extLst>
        <ext xmlns:x15="http://schemas.microsoft.com/office/spreadsheetml/2010/11/main" uri="{B97F6D7D-B522-45F9-BDA1-12C45D357490}">
          <x15:cacheHierarchy aggregatedColumn="10"/>
        </ext>
      </extLst>
    </cacheHierarchy>
    <cacheHierarchy uniqueName="[Measures].[Sum of New Profit]" caption="Sum of New Profit" measure="1" displayFolder="" measureGroup="Table1" count="0" hidden="1">
      <extLst>
        <ext xmlns:x15="http://schemas.microsoft.com/office/spreadsheetml/2010/11/main" uri="{B97F6D7D-B522-45F9-BDA1-12C45D357490}">
          <x15:cacheHierarchy aggregatedColumn="11"/>
        </ext>
      </extLst>
    </cacheHierarchy>
    <cacheHierarchy uniqueName="[Measures].[Sum of CookiesShipped]" caption="Sum of CookiesShipped" measure="1" displayFolder="" measureGroup="Table1" count="0" hidden="1">
      <extLst>
        <ext xmlns:x15="http://schemas.microsoft.com/office/spreadsheetml/2010/11/main" uri="{B97F6D7D-B522-45F9-BDA1-12C45D357490}">
          <x15:cacheHierarchy aggregatedColumn="9"/>
        </ext>
      </extLst>
    </cacheHierarchy>
    <cacheHierarchy uniqueName="[Measures].[Sum of DateDifference]" caption="Sum of DateDifference" measure="1" displayFolder="" measureGroup="Table1" count="0" hidden="1">
      <extLst>
        <ext xmlns:x15="http://schemas.microsoft.com/office/spreadsheetml/2010/11/main" uri="{B97F6D7D-B522-45F9-BDA1-12C45D357490}">
          <x15:cacheHierarchy aggregatedColumn="19"/>
        </ext>
      </extLst>
    </cacheHierarchy>
    <cacheHierarchy uniqueName="[Measures].[Average of DateDifference]" caption="Average of DateDifference" measure="1" displayFolder="" measureGroup="Table1" count="0" oneField="1" hidden="1">
      <fieldsUsage count="1">
        <fieldUsage x="1"/>
      </fieldsUsage>
      <extLst>
        <ext xmlns:x15="http://schemas.microsoft.com/office/spreadsheetml/2010/11/main" uri="{B97F6D7D-B522-45F9-BDA1-12C45D357490}">
          <x15:cacheHierarchy aggregatedColumn="19"/>
        </ext>
      </extLst>
    </cacheHierarchy>
    <cacheHierarchy uniqueName="[Measures].[Count of OrderStatus]" caption="Count of OrderStatus" measure="1" displayFolder="" measureGroup="Table1" count="0" hidden="1">
      <extLst>
        <ext xmlns:x15="http://schemas.microsoft.com/office/spreadsheetml/2010/11/main" uri="{B97F6D7D-B522-45F9-BDA1-12C45D357490}">
          <x15:cacheHierarchy aggregatedColumn="18"/>
        </ext>
      </extLst>
    </cacheHierarchy>
    <cacheHierarchy uniqueName="[Measures].[Count of City]" caption="Count of City" measure="1" displayFolder="" measureGroup="Table1" count="0" hidden="1">
      <extLst>
        <ext xmlns:x15="http://schemas.microsoft.com/office/spreadsheetml/2010/11/main" uri="{B97F6D7D-B522-45F9-BDA1-12C45D357490}">
          <x15:cacheHierarchy aggregatedColumn="3"/>
        </ext>
      </extLst>
    </cacheHierarchy>
    <cacheHierarchy uniqueName="[Measures].[Count of RestaurantName]" caption="Count of RestaurantName" measure="1" displayFolder="" measureGroup="Table1" count="0" hidden="1">
      <extLst>
        <ext xmlns:x15="http://schemas.microsoft.com/office/spreadsheetml/2010/11/main" uri="{B97F6D7D-B522-45F9-BDA1-12C45D357490}">
          <x15:cacheHierarchy aggregatedColumn="2"/>
        </ext>
      </extLst>
    </cacheHierarchy>
    <cacheHierarchy uniqueName="[Measures].[Distinct Count of RestaurantName]" caption="Distinct Count of RestaurantName" measure="1" displayFolder="" measureGroup="Table1" count="0" hidden="1">
      <extLst>
        <ext xmlns:x15="http://schemas.microsoft.com/office/spreadsheetml/2010/11/main" uri="{B97F6D7D-B522-45F9-BDA1-12C45D357490}">
          <x15:cacheHierarchy aggregatedColumn="2"/>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02.932606134258" backgroundQuery="1" createdVersion="8" refreshedVersion="8" minRefreshableVersion="3" recordCount="0" supportSubquery="1" supportAdvancedDrill="1" xr:uid="{D8426C6A-2025-42FC-A842-3B643ADE7F30}">
  <cacheSource type="external" connectionId="1"/>
  <cacheFields count="2">
    <cacheField name="[Measures].[Count of OrderID]" caption="Count of OrderID" numFmtId="0" hierarchy="25" level="32767"/>
    <cacheField name="[Table1].[City].[City]" caption="City" numFmtId="0" hierarchy="3" level="1">
      <sharedItems containsSemiMixedTypes="0" containsNonDate="0" containsString="0"/>
    </cacheField>
  </cacheFields>
  <cacheHierarchies count="35">
    <cacheHierarchy uniqueName="[Table1].[OrderID]" caption="OrderID" attribute="1" defaultMemberUniqueName="[Table1].[OrderID].[All]" allUniqueName="[Table1].[OrderID].[All]" dimensionUniqueName="[Table1]" displayFolder="" count="0" memberValueDatatype="20" unbalanced="0"/>
    <cacheHierarchy uniqueName="[Table1].[RestaurantID]" caption="RestaurantID" attribute="1" defaultMemberUniqueName="[Table1].[RestaurantID].[All]" allUniqueName="[Table1].[RestaurantID].[All]" dimensionUniqueName="[Table1]" displayFolder="" count="0" memberValueDatatype="20" unbalanced="0"/>
    <cacheHierarchy uniqueName="[Table1].[RestaurantName]" caption="RestaurantName" attribute="1" defaultMemberUniqueName="[Table1].[RestaurantName].[All]" allUniqueName="[Table1].[RestaurantName].[All]" dimensionUniqueName="[Table1]" displayFolder="" count="2" memberValueDatatype="130" unbalanced="0"/>
    <cacheHierarchy uniqueName="[Table1].[City]" caption="City" attribute="1" defaultMemberUniqueName="[Table1].[City].[All]" allUniqueName="[Table1].[City].[All]" dimensionUniqueName="[Table1]" displayFolder="" count="2" memberValueDatatype="130" unbalanced="0">
      <fieldsUsage count="2">
        <fieldUsage x="-1"/>
        <fieldUsage x="1"/>
      </fieldsUsage>
    </cacheHierarchy>
    <cacheHierarchy uniqueName="[Table1].[Markup (%)]" caption="Markup (%)" attribute="1" defaultMemberUniqueName="[Table1].[Markup (%)].[All]" allUniqueName="[Table1].[Markup (%)].[All]" dimensionUniqueName="[Table1]" displayFolder="" count="0" memberValueDatatype="5" unbalanced="0"/>
    <cacheHierarchy uniqueName="[Table1].[Cost]" caption="Cost" attribute="1" defaultMemberUniqueName="[Table1].[Cost].[All]" allUniqueName="[Table1].[Cost].[All]" dimensionUniqueName="[Table1]" displayFolder="" count="0" memberValueDatatype="5" unbalanced="0"/>
    <cacheHierarchy uniqueName="[Table1].[Total Cost]" caption="Total Cost" attribute="1" defaultMemberUniqueName="[Table1].[Total Cost].[All]" allUniqueName="[Table1].[Total Cost].[All]" dimensionUniqueName="[Table1]" displayFolder="" count="0" memberValueDatatype="5" unbalanced="0"/>
    <cacheHierarchy uniqueName="[Table1].[Selling Price]" caption="Selling Price" attribute="1" defaultMemberUniqueName="[Table1].[Selling Price].[All]" allUniqueName="[Table1].[Selling Price].[All]" dimensionUniqueName="[Table1]" displayFolder="" count="0" memberValueDatatype="5" unbalanced="0"/>
    <cacheHierarchy uniqueName="[Table1].[total selling price]" caption="total selling price" attribute="1" defaultMemberUniqueName="[Table1].[total selling price].[All]" allUniqueName="[Table1].[total selling price].[All]" dimensionUniqueName="[Table1]" displayFolder="" count="0" memberValueDatatype="5" unbalanced="0"/>
    <cacheHierarchy uniqueName="[Table1].[CookiesShipped]" caption="CookiesShipped" attribute="1" defaultMemberUniqueName="[Table1].[CookiesShipped].[All]" allUniqueName="[Table1].[CookiesShipped].[All]" dimensionUniqueName="[Table1]" displayFolder="" count="0" memberValueDatatype="20" unbalanced="0"/>
    <cacheHierarchy uniqueName="[Table1].[New Revenue]" caption="New Revenue" attribute="1" defaultMemberUniqueName="[Table1].[New Revenue].[All]" allUniqueName="[Table1].[New Revenue].[All]" dimensionUniqueName="[Table1]" displayFolder="" count="0" memberValueDatatype="5" unbalanced="0"/>
    <cacheHierarchy uniqueName="[Table1].[New Profit]" caption="New Profit" attribute="1" defaultMemberUniqueName="[Table1].[New Profit].[All]" allUniqueName="[Table1].[New Profit].[All]" dimensionUniqueName="[Table1]" displayFolder="" count="0" memberValueDatatype="5" unbalanced="0"/>
    <cacheHierarchy uniqueName="[Table1].[Profit Margin (%)]" caption="Profit Margin (%)" attribute="1" defaultMemberUniqueName="[Table1].[Profit Margin (%)].[All]" allUniqueName="[Table1].[Profit Margin (%)].[All]" dimensionUniqueName="[Table1]" displayFolder="" count="0" memberValueDatatype="5" unbalanced="0"/>
    <cacheHierarchy uniqueName="[Table1].[OrderDate]" caption="OrderDate" attribute="1" time="1" defaultMemberUniqueName="[Table1].[OrderDate].[All]" allUniqueName="[Table1].[OrderDate].[All]" dimensionUniqueName="[Table1]" displayFolder="" count="0" memberValueDatatype="7" unbalanced="0"/>
    <cacheHierarchy uniqueName="[Table1].[OrderDay]" caption="OrderDay" attribute="1" defaultMemberUniqueName="[Table1].[OrderDay].[All]" allUniqueName="[Table1].[OrderDay].[All]" dimensionUniqueName="[Table1]" displayFolder="" count="0" memberValueDatatype="130" unbalanced="0"/>
    <cacheHierarchy uniqueName="[Table1].[Orderweeks]" caption="Orderweeks" attribute="1" defaultMemberUniqueName="[Table1].[Orderweeks].[All]" allUniqueName="[Table1].[Orderweeks].[All]" dimensionUniqueName="[Table1]" displayFolder="" count="0" memberValueDatatype="130" unbalanced="0"/>
    <cacheHierarchy uniqueName="[Table1].[ShipDate]" caption="ShipDate" attribute="1" time="1" defaultMemberUniqueName="[Table1].[ShipDate].[All]" allUniqueName="[Table1].[ShipDate].[All]" dimensionUniqueName="[Table1]" displayFolder="" count="0" memberValueDatatype="7" unbalanced="0"/>
    <cacheHierarchy uniqueName="[Table1].[Shipday]" caption="Shipday" attribute="1" defaultMemberUniqueName="[Table1].[Shipday].[All]" allUniqueName="[Table1].[Shipday].[All]" dimensionUniqueName="[Table1]" displayFolder="" count="0" memberValueDatatype="130" unbalanced="0"/>
    <cacheHierarchy uniqueName="[Table1].[OrderStatus]" caption="OrderStatus" attribute="1" defaultMemberUniqueName="[Table1].[OrderStatus].[All]" allUniqueName="[Table1].[OrderStatus].[All]" dimensionUniqueName="[Table1]" displayFolder="" count="2" memberValueDatatype="130" unbalanced="0"/>
    <cacheHierarchy uniqueName="[Table1].[DateDifference]" caption="DateDifference" attribute="1" defaultMemberUniqueName="[Table1].[DateDifference].[All]" allUniqueName="[Table1].[DateDifference].[All]" dimensionUniqueName="[Table1]" displayFolder="" count="0" memberValueDatatype="20" unbalanced="0"/>
    <cacheHierarchy uniqueName="[Table1].[Target]" caption="Target" attribute="1" defaultMemberUniqueName="[Table1].[Target].[All]" allUniqueName="[Table1].[Target].[All]" dimensionUniqueName="[Table1]" displayFolder="" count="0" memberValueDatatype="130" unbalanced="0"/>
    <cacheHierarchy uniqueName="[Table1].[Order Day]" caption="Order Day" attribute="1" defaultMemberUniqueName="[Table1].[Order Day].[All]" allUniqueName="[Table1].[Order Day].[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OrderID]" caption="Sum of OrderID" measure="1" displayFolder="" measureGroup="Table1" count="0" hidden="1">
      <extLst>
        <ext xmlns:x15="http://schemas.microsoft.com/office/spreadsheetml/2010/11/main" uri="{B97F6D7D-B522-45F9-BDA1-12C45D357490}">
          <x15:cacheHierarchy aggregatedColumn="0"/>
        </ext>
      </extLst>
    </cacheHierarchy>
    <cacheHierarchy uniqueName="[Measures].[Count of OrderID]" caption="Count of OrderID" measure="1" displayFolder="" measureGroup="Table1"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New Revenue]" caption="Sum of New Revenue" measure="1" displayFolder="" measureGroup="Table1" count="0" hidden="1">
      <extLst>
        <ext xmlns:x15="http://schemas.microsoft.com/office/spreadsheetml/2010/11/main" uri="{B97F6D7D-B522-45F9-BDA1-12C45D357490}">
          <x15:cacheHierarchy aggregatedColumn="10"/>
        </ext>
      </extLst>
    </cacheHierarchy>
    <cacheHierarchy uniqueName="[Measures].[Sum of New Profit]" caption="Sum of New Profit" measure="1" displayFolder="" measureGroup="Table1" count="0" hidden="1">
      <extLst>
        <ext xmlns:x15="http://schemas.microsoft.com/office/spreadsheetml/2010/11/main" uri="{B97F6D7D-B522-45F9-BDA1-12C45D357490}">
          <x15:cacheHierarchy aggregatedColumn="11"/>
        </ext>
      </extLst>
    </cacheHierarchy>
    <cacheHierarchy uniqueName="[Measures].[Sum of CookiesShipped]" caption="Sum of CookiesShipped" measure="1" displayFolder="" measureGroup="Table1" count="0" hidden="1">
      <extLst>
        <ext xmlns:x15="http://schemas.microsoft.com/office/spreadsheetml/2010/11/main" uri="{B97F6D7D-B522-45F9-BDA1-12C45D357490}">
          <x15:cacheHierarchy aggregatedColumn="9"/>
        </ext>
      </extLst>
    </cacheHierarchy>
    <cacheHierarchy uniqueName="[Measures].[Sum of DateDifference]" caption="Sum of DateDifference" measure="1" displayFolder="" measureGroup="Table1" count="0" hidden="1">
      <extLst>
        <ext xmlns:x15="http://schemas.microsoft.com/office/spreadsheetml/2010/11/main" uri="{B97F6D7D-B522-45F9-BDA1-12C45D357490}">
          <x15:cacheHierarchy aggregatedColumn="19"/>
        </ext>
      </extLst>
    </cacheHierarchy>
    <cacheHierarchy uniqueName="[Measures].[Average of DateDifference]" caption="Average of DateDifference" measure="1" displayFolder="" measureGroup="Table1" count="0" hidden="1">
      <extLst>
        <ext xmlns:x15="http://schemas.microsoft.com/office/spreadsheetml/2010/11/main" uri="{B97F6D7D-B522-45F9-BDA1-12C45D357490}">
          <x15:cacheHierarchy aggregatedColumn="19"/>
        </ext>
      </extLst>
    </cacheHierarchy>
    <cacheHierarchy uniqueName="[Measures].[Count of OrderStatus]" caption="Count of OrderStatus" measure="1" displayFolder="" measureGroup="Table1" count="0" hidden="1">
      <extLst>
        <ext xmlns:x15="http://schemas.microsoft.com/office/spreadsheetml/2010/11/main" uri="{B97F6D7D-B522-45F9-BDA1-12C45D357490}">
          <x15:cacheHierarchy aggregatedColumn="18"/>
        </ext>
      </extLst>
    </cacheHierarchy>
    <cacheHierarchy uniqueName="[Measures].[Count of City]" caption="Count of City" measure="1" displayFolder="" measureGroup="Table1" count="0" hidden="1">
      <extLst>
        <ext xmlns:x15="http://schemas.microsoft.com/office/spreadsheetml/2010/11/main" uri="{B97F6D7D-B522-45F9-BDA1-12C45D357490}">
          <x15:cacheHierarchy aggregatedColumn="3"/>
        </ext>
      </extLst>
    </cacheHierarchy>
    <cacheHierarchy uniqueName="[Measures].[Count of RestaurantName]" caption="Count of RestaurantName" measure="1" displayFolder="" measureGroup="Table1" count="0" hidden="1">
      <extLst>
        <ext xmlns:x15="http://schemas.microsoft.com/office/spreadsheetml/2010/11/main" uri="{B97F6D7D-B522-45F9-BDA1-12C45D357490}">
          <x15:cacheHierarchy aggregatedColumn="2"/>
        </ext>
      </extLst>
    </cacheHierarchy>
    <cacheHierarchy uniqueName="[Measures].[Distinct Count of RestaurantName]" caption="Distinct Count of RestaurantName" measure="1" displayFolder="" measureGroup="Table1" count="0" hidden="1">
      <extLst>
        <ext xmlns:x15="http://schemas.microsoft.com/office/spreadsheetml/2010/11/main" uri="{B97F6D7D-B522-45F9-BDA1-12C45D357490}">
          <x15:cacheHierarchy aggregatedColumn="2"/>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02.932606481481" backgroundQuery="1" createdVersion="8" refreshedVersion="8" minRefreshableVersion="3" recordCount="0" supportSubquery="1" supportAdvancedDrill="1" xr:uid="{3D64E300-6EB1-4C45-8E28-70596B69C5AC}">
  <cacheSource type="external" connectionId="1"/>
  <cacheFields count="2">
    <cacheField name="[Measures].[Sum of New Revenue]" caption="Sum of New Revenue" numFmtId="0" hierarchy="26" level="32767"/>
    <cacheField name="[Table1].[City].[City]" caption="City" numFmtId="0" hierarchy="3" level="1">
      <sharedItems containsSemiMixedTypes="0" containsNonDate="0" containsString="0"/>
    </cacheField>
  </cacheFields>
  <cacheHierarchies count="35">
    <cacheHierarchy uniqueName="[Table1].[OrderID]" caption="OrderID" attribute="1" defaultMemberUniqueName="[Table1].[OrderID].[All]" allUniqueName="[Table1].[OrderID].[All]" dimensionUniqueName="[Table1]" displayFolder="" count="0" memberValueDatatype="20" unbalanced="0"/>
    <cacheHierarchy uniqueName="[Table1].[RestaurantID]" caption="RestaurantID" attribute="1" defaultMemberUniqueName="[Table1].[RestaurantID].[All]" allUniqueName="[Table1].[RestaurantID].[All]" dimensionUniqueName="[Table1]" displayFolder="" count="0" memberValueDatatype="20" unbalanced="0"/>
    <cacheHierarchy uniqueName="[Table1].[RestaurantName]" caption="RestaurantName" attribute="1" defaultMemberUniqueName="[Table1].[RestaurantName].[All]" allUniqueName="[Table1].[RestaurantName].[All]" dimensionUniqueName="[Table1]" displayFolder="" count="2" memberValueDatatype="130" unbalanced="0"/>
    <cacheHierarchy uniqueName="[Table1].[City]" caption="City" attribute="1" defaultMemberUniqueName="[Table1].[City].[All]" allUniqueName="[Table1].[City].[All]" dimensionUniqueName="[Table1]" displayFolder="" count="2" memberValueDatatype="130" unbalanced="0">
      <fieldsUsage count="2">
        <fieldUsage x="-1"/>
        <fieldUsage x="1"/>
      </fieldsUsage>
    </cacheHierarchy>
    <cacheHierarchy uniqueName="[Table1].[Markup (%)]" caption="Markup (%)" attribute="1" defaultMemberUniqueName="[Table1].[Markup (%)].[All]" allUniqueName="[Table1].[Markup (%)].[All]" dimensionUniqueName="[Table1]" displayFolder="" count="0" memberValueDatatype="5" unbalanced="0"/>
    <cacheHierarchy uniqueName="[Table1].[Cost]" caption="Cost" attribute="1" defaultMemberUniqueName="[Table1].[Cost].[All]" allUniqueName="[Table1].[Cost].[All]" dimensionUniqueName="[Table1]" displayFolder="" count="0" memberValueDatatype="5" unbalanced="0"/>
    <cacheHierarchy uniqueName="[Table1].[Total Cost]" caption="Total Cost" attribute="1" defaultMemberUniqueName="[Table1].[Total Cost].[All]" allUniqueName="[Table1].[Total Cost].[All]" dimensionUniqueName="[Table1]" displayFolder="" count="0" memberValueDatatype="5" unbalanced="0"/>
    <cacheHierarchy uniqueName="[Table1].[Selling Price]" caption="Selling Price" attribute="1" defaultMemberUniqueName="[Table1].[Selling Price].[All]" allUniqueName="[Table1].[Selling Price].[All]" dimensionUniqueName="[Table1]" displayFolder="" count="0" memberValueDatatype="5" unbalanced="0"/>
    <cacheHierarchy uniqueName="[Table1].[total selling price]" caption="total selling price" attribute="1" defaultMemberUniqueName="[Table1].[total selling price].[All]" allUniqueName="[Table1].[total selling price].[All]" dimensionUniqueName="[Table1]" displayFolder="" count="0" memberValueDatatype="5" unbalanced="0"/>
    <cacheHierarchy uniqueName="[Table1].[CookiesShipped]" caption="CookiesShipped" attribute="1" defaultMemberUniqueName="[Table1].[CookiesShipped].[All]" allUniqueName="[Table1].[CookiesShipped].[All]" dimensionUniqueName="[Table1]" displayFolder="" count="0" memberValueDatatype="20" unbalanced="0"/>
    <cacheHierarchy uniqueName="[Table1].[New Revenue]" caption="New Revenue" attribute="1" defaultMemberUniqueName="[Table1].[New Revenue].[All]" allUniqueName="[Table1].[New Revenue].[All]" dimensionUniqueName="[Table1]" displayFolder="" count="0" memberValueDatatype="5" unbalanced="0"/>
    <cacheHierarchy uniqueName="[Table1].[New Profit]" caption="New Profit" attribute="1" defaultMemberUniqueName="[Table1].[New Profit].[All]" allUniqueName="[Table1].[New Profit].[All]" dimensionUniqueName="[Table1]" displayFolder="" count="0" memberValueDatatype="5" unbalanced="0"/>
    <cacheHierarchy uniqueName="[Table1].[Profit Margin (%)]" caption="Profit Margin (%)" attribute="1" defaultMemberUniqueName="[Table1].[Profit Margin (%)].[All]" allUniqueName="[Table1].[Profit Margin (%)].[All]" dimensionUniqueName="[Table1]" displayFolder="" count="0" memberValueDatatype="5" unbalanced="0"/>
    <cacheHierarchy uniqueName="[Table1].[OrderDate]" caption="OrderDate" attribute="1" time="1" defaultMemberUniqueName="[Table1].[OrderDate].[All]" allUniqueName="[Table1].[OrderDate].[All]" dimensionUniqueName="[Table1]" displayFolder="" count="0" memberValueDatatype="7" unbalanced="0"/>
    <cacheHierarchy uniqueName="[Table1].[OrderDay]" caption="OrderDay" attribute="1" defaultMemberUniqueName="[Table1].[OrderDay].[All]" allUniqueName="[Table1].[OrderDay].[All]" dimensionUniqueName="[Table1]" displayFolder="" count="0" memberValueDatatype="130" unbalanced="0"/>
    <cacheHierarchy uniqueName="[Table1].[Orderweeks]" caption="Orderweeks" attribute="1" defaultMemberUniqueName="[Table1].[Orderweeks].[All]" allUniqueName="[Table1].[Orderweeks].[All]" dimensionUniqueName="[Table1]" displayFolder="" count="0" memberValueDatatype="130" unbalanced="0"/>
    <cacheHierarchy uniqueName="[Table1].[ShipDate]" caption="ShipDate" attribute="1" time="1" defaultMemberUniqueName="[Table1].[ShipDate].[All]" allUniqueName="[Table1].[ShipDate].[All]" dimensionUniqueName="[Table1]" displayFolder="" count="0" memberValueDatatype="7" unbalanced="0"/>
    <cacheHierarchy uniqueName="[Table1].[Shipday]" caption="Shipday" attribute="1" defaultMemberUniqueName="[Table1].[Shipday].[All]" allUniqueName="[Table1].[Shipday].[All]" dimensionUniqueName="[Table1]" displayFolder="" count="0" memberValueDatatype="130" unbalanced="0"/>
    <cacheHierarchy uniqueName="[Table1].[OrderStatus]" caption="OrderStatus" attribute="1" defaultMemberUniqueName="[Table1].[OrderStatus].[All]" allUniqueName="[Table1].[OrderStatus].[All]" dimensionUniqueName="[Table1]" displayFolder="" count="2" memberValueDatatype="130" unbalanced="0"/>
    <cacheHierarchy uniqueName="[Table1].[DateDifference]" caption="DateDifference" attribute="1" defaultMemberUniqueName="[Table1].[DateDifference].[All]" allUniqueName="[Table1].[DateDifference].[All]" dimensionUniqueName="[Table1]" displayFolder="" count="0" memberValueDatatype="20" unbalanced="0"/>
    <cacheHierarchy uniqueName="[Table1].[Target]" caption="Target" attribute="1" defaultMemberUniqueName="[Table1].[Target].[All]" allUniqueName="[Table1].[Target].[All]" dimensionUniqueName="[Table1]" displayFolder="" count="0" memberValueDatatype="130" unbalanced="0"/>
    <cacheHierarchy uniqueName="[Table1].[Order Day]" caption="Order Day" attribute="1" defaultMemberUniqueName="[Table1].[Order Day].[All]" allUniqueName="[Table1].[Order Day].[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OrderID]" caption="Sum of OrderID" measure="1" displayFolder="" measureGroup="Table1" count="0" hidden="1">
      <extLst>
        <ext xmlns:x15="http://schemas.microsoft.com/office/spreadsheetml/2010/11/main" uri="{B97F6D7D-B522-45F9-BDA1-12C45D357490}">
          <x15:cacheHierarchy aggregatedColumn="0"/>
        </ext>
      </extLst>
    </cacheHierarchy>
    <cacheHierarchy uniqueName="[Measures].[Count of OrderID]" caption="Count of OrderID" measure="1" displayFolder="" measureGroup="Table1" count="0" hidden="1">
      <extLst>
        <ext xmlns:x15="http://schemas.microsoft.com/office/spreadsheetml/2010/11/main" uri="{B97F6D7D-B522-45F9-BDA1-12C45D357490}">
          <x15:cacheHierarchy aggregatedColumn="0"/>
        </ext>
      </extLst>
    </cacheHierarchy>
    <cacheHierarchy uniqueName="[Measures].[Sum of New Revenue]" caption="Sum of New Revenue" measure="1" displayFolder="" measureGroup="Table1" count="0" oneField="1" hidden="1">
      <fieldsUsage count="1">
        <fieldUsage x="0"/>
      </fieldsUsage>
      <extLst>
        <ext xmlns:x15="http://schemas.microsoft.com/office/spreadsheetml/2010/11/main" uri="{B97F6D7D-B522-45F9-BDA1-12C45D357490}">
          <x15:cacheHierarchy aggregatedColumn="10"/>
        </ext>
      </extLst>
    </cacheHierarchy>
    <cacheHierarchy uniqueName="[Measures].[Sum of New Profit]" caption="Sum of New Profit" measure="1" displayFolder="" measureGroup="Table1" count="0" hidden="1">
      <extLst>
        <ext xmlns:x15="http://schemas.microsoft.com/office/spreadsheetml/2010/11/main" uri="{B97F6D7D-B522-45F9-BDA1-12C45D357490}">
          <x15:cacheHierarchy aggregatedColumn="11"/>
        </ext>
      </extLst>
    </cacheHierarchy>
    <cacheHierarchy uniqueName="[Measures].[Sum of CookiesShipped]" caption="Sum of CookiesShipped" measure="1" displayFolder="" measureGroup="Table1" count="0" hidden="1">
      <extLst>
        <ext xmlns:x15="http://schemas.microsoft.com/office/spreadsheetml/2010/11/main" uri="{B97F6D7D-B522-45F9-BDA1-12C45D357490}">
          <x15:cacheHierarchy aggregatedColumn="9"/>
        </ext>
      </extLst>
    </cacheHierarchy>
    <cacheHierarchy uniqueName="[Measures].[Sum of DateDifference]" caption="Sum of DateDifference" measure="1" displayFolder="" measureGroup="Table1" count="0" hidden="1">
      <extLst>
        <ext xmlns:x15="http://schemas.microsoft.com/office/spreadsheetml/2010/11/main" uri="{B97F6D7D-B522-45F9-BDA1-12C45D357490}">
          <x15:cacheHierarchy aggregatedColumn="19"/>
        </ext>
      </extLst>
    </cacheHierarchy>
    <cacheHierarchy uniqueName="[Measures].[Average of DateDifference]" caption="Average of DateDifference" measure="1" displayFolder="" measureGroup="Table1" count="0" hidden="1">
      <extLst>
        <ext xmlns:x15="http://schemas.microsoft.com/office/spreadsheetml/2010/11/main" uri="{B97F6D7D-B522-45F9-BDA1-12C45D357490}">
          <x15:cacheHierarchy aggregatedColumn="19"/>
        </ext>
      </extLst>
    </cacheHierarchy>
    <cacheHierarchy uniqueName="[Measures].[Count of OrderStatus]" caption="Count of OrderStatus" measure="1" displayFolder="" measureGroup="Table1" count="0" hidden="1">
      <extLst>
        <ext xmlns:x15="http://schemas.microsoft.com/office/spreadsheetml/2010/11/main" uri="{B97F6D7D-B522-45F9-BDA1-12C45D357490}">
          <x15:cacheHierarchy aggregatedColumn="18"/>
        </ext>
      </extLst>
    </cacheHierarchy>
    <cacheHierarchy uniqueName="[Measures].[Count of City]" caption="Count of City" measure="1" displayFolder="" measureGroup="Table1" count="0" hidden="1">
      <extLst>
        <ext xmlns:x15="http://schemas.microsoft.com/office/spreadsheetml/2010/11/main" uri="{B97F6D7D-B522-45F9-BDA1-12C45D357490}">
          <x15:cacheHierarchy aggregatedColumn="3"/>
        </ext>
      </extLst>
    </cacheHierarchy>
    <cacheHierarchy uniqueName="[Measures].[Count of RestaurantName]" caption="Count of RestaurantName" measure="1" displayFolder="" measureGroup="Table1" count="0" hidden="1">
      <extLst>
        <ext xmlns:x15="http://schemas.microsoft.com/office/spreadsheetml/2010/11/main" uri="{B97F6D7D-B522-45F9-BDA1-12C45D357490}">
          <x15:cacheHierarchy aggregatedColumn="2"/>
        </ext>
      </extLst>
    </cacheHierarchy>
    <cacheHierarchy uniqueName="[Measures].[Distinct Count of RestaurantName]" caption="Distinct Count of RestaurantName" measure="1" displayFolder="" measureGroup="Table1" count="0" hidden="1">
      <extLst>
        <ext xmlns:x15="http://schemas.microsoft.com/office/spreadsheetml/2010/11/main" uri="{B97F6D7D-B522-45F9-BDA1-12C45D357490}">
          <x15:cacheHierarchy aggregatedColumn="2"/>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01.635639236112" backgroundQuery="1" createdVersion="3" refreshedVersion="8" minRefreshableVersion="3" recordCount="0" supportSubquery="1" supportAdvancedDrill="1" xr:uid="{E0722D52-84CE-41B0-B2E7-9C04F4B25643}">
  <cacheSource type="external" connectionId="1">
    <extLst>
      <ext xmlns:x14="http://schemas.microsoft.com/office/spreadsheetml/2009/9/main" uri="{F057638F-6D5F-4e77-A914-E7F072B9BCA8}">
        <x14:sourceConnection name="ThisWorkbookDataModel"/>
      </ext>
    </extLst>
  </cacheSource>
  <cacheFields count="0"/>
  <cacheHierarchies count="35">
    <cacheHierarchy uniqueName="[Table1].[OrderID]" caption="OrderID" attribute="1" defaultMemberUniqueName="[Table1].[OrderID].[All]" allUniqueName="[Table1].[OrderID].[All]" dimensionUniqueName="[Table1]" displayFolder="" count="0" memberValueDatatype="20" unbalanced="0"/>
    <cacheHierarchy uniqueName="[Table1].[RestaurantID]" caption="RestaurantID" attribute="1" defaultMemberUniqueName="[Table1].[RestaurantID].[All]" allUniqueName="[Table1].[RestaurantID].[All]" dimensionUniqueName="[Table1]" displayFolder="" count="0" memberValueDatatype="20" unbalanced="0"/>
    <cacheHierarchy uniqueName="[Table1].[RestaurantName]" caption="RestaurantName" attribute="1" defaultMemberUniqueName="[Table1].[RestaurantName].[All]" allUniqueName="[Table1].[RestaurantName].[All]" dimensionUniqueName="[Table1]" displayFolder="" count="2" memberValueDatatype="130" unbalanced="0"/>
    <cacheHierarchy uniqueName="[Table1].[City]" caption="City" attribute="1" defaultMemberUniqueName="[Table1].[City].[All]" allUniqueName="[Table1].[City].[All]" dimensionUniqueName="[Table1]" displayFolder="" count="0" memberValueDatatype="130" unbalanced="0"/>
    <cacheHierarchy uniqueName="[Table1].[Markup (%)]" caption="Markup (%)" attribute="1" defaultMemberUniqueName="[Table1].[Markup (%)].[All]" allUniqueName="[Table1].[Markup (%)].[All]" dimensionUniqueName="[Table1]" displayFolder="" count="0" memberValueDatatype="5" unbalanced="0"/>
    <cacheHierarchy uniqueName="[Table1].[Cost]" caption="Cost" attribute="1" defaultMemberUniqueName="[Table1].[Cost].[All]" allUniqueName="[Table1].[Cost].[All]" dimensionUniqueName="[Table1]" displayFolder="" count="0" memberValueDatatype="5" unbalanced="0"/>
    <cacheHierarchy uniqueName="[Table1].[Total Cost]" caption="Total Cost" attribute="1" defaultMemberUniqueName="[Table1].[Total Cost].[All]" allUniqueName="[Table1].[Total Cost].[All]" dimensionUniqueName="[Table1]" displayFolder="" count="0" memberValueDatatype="5" unbalanced="0"/>
    <cacheHierarchy uniqueName="[Table1].[Selling Price]" caption="Selling Price" attribute="1" defaultMemberUniqueName="[Table1].[Selling Price].[All]" allUniqueName="[Table1].[Selling Price].[All]" dimensionUniqueName="[Table1]" displayFolder="" count="0" memberValueDatatype="5" unbalanced="0"/>
    <cacheHierarchy uniqueName="[Table1].[total selling price]" caption="total selling price" attribute="1" defaultMemberUniqueName="[Table1].[total selling price].[All]" allUniqueName="[Table1].[total selling price].[All]" dimensionUniqueName="[Table1]" displayFolder="" count="0" memberValueDatatype="5" unbalanced="0"/>
    <cacheHierarchy uniqueName="[Table1].[CookiesShipped]" caption="CookiesShipped" attribute="1" defaultMemberUniqueName="[Table1].[CookiesShipped].[All]" allUniqueName="[Table1].[CookiesShipped].[All]" dimensionUniqueName="[Table1]" displayFolder="" count="0" memberValueDatatype="20" unbalanced="0"/>
    <cacheHierarchy uniqueName="[Table1].[New Revenue]" caption="New Revenue" attribute="1" defaultMemberUniqueName="[Table1].[New Revenue].[All]" allUniqueName="[Table1].[New Revenue].[All]" dimensionUniqueName="[Table1]" displayFolder="" count="0" memberValueDatatype="5" unbalanced="0"/>
    <cacheHierarchy uniqueName="[Table1].[New Profit]" caption="New Profit" attribute="1" defaultMemberUniqueName="[Table1].[New Profit].[All]" allUniqueName="[Table1].[New Profit].[All]" dimensionUniqueName="[Table1]" displayFolder="" count="0" memberValueDatatype="5" unbalanced="0"/>
    <cacheHierarchy uniqueName="[Table1].[Profit Margin (%)]" caption="Profit Margin (%)" attribute="1" defaultMemberUniqueName="[Table1].[Profit Margin (%)].[All]" allUniqueName="[Table1].[Profit Margin (%)].[All]" dimensionUniqueName="[Table1]" displayFolder="" count="0" memberValueDatatype="5" unbalanced="0"/>
    <cacheHierarchy uniqueName="[Table1].[OrderDate]" caption="OrderDate" attribute="1" time="1" defaultMemberUniqueName="[Table1].[OrderDate].[All]" allUniqueName="[Table1].[OrderDate].[All]" dimensionUniqueName="[Table1]" displayFolder="" count="0" memberValueDatatype="7" unbalanced="0"/>
    <cacheHierarchy uniqueName="[Table1].[OrderDay]" caption="OrderDay" attribute="1" defaultMemberUniqueName="[Table1].[OrderDay].[All]" allUniqueName="[Table1].[OrderDay].[All]" dimensionUniqueName="[Table1]" displayFolder="" count="0" memberValueDatatype="130" unbalanced="0"/>
    <cacheHierarchy uniqueName="[Table1].[Orderweeks]" caption="Orderweeks" attribute="1" defaultMemberUniqueName="[Table1].[Orderweeks].[All]" allUniqueName="[Table1].[Orderweeks].[All]" dimensionUniqueName="[Table1]" displayFolder="" count="0" memberValueDatatype="130" unbalanced="0"/>
    <cacheHierarchy uniqueName="[Table1].[ShipDate]" caption="ShipDate" attribute="1" time="1" defaultMemberUniqueName="[Table1].[ShipDate].[All]" allUniqueName="[Table1].[ShipDate].[All]" dimensionUniqueName="[Table1]" displayFolder="" count="0" memberValueDatatype="7" unbalanced="0"/>
    <cacheHierarchy uniqueName="[Table1].[Shipday]" caption="Shipday" attribute="1" defaultMemberUniqueName="[Table1].[Shipday].[All]" allUniqueName="[Table1].[Shipday].[All]" dimensionUniqueName="[Table1]" displayFolder="" count="0" memberValueDatatype="130" unbalanced="0"/>
    <cacheHierarchy uniqueName="[Table1].[OrderStatus]" caption="OrderStatus" attribute="1" defaultMemberUniqueName="[Table1].[OrderStatus].[All]" allUniqueName="[Table1].[OrderStatus].[All]" dimensionUniqueName="[Table1]" displayFolder="" count="0" memberValueDatatype="130" unbalanced="0"/>
    <cacheHierarchy uniqueName="[Table1].[DateDifference]" caption="DateDifference" attribute="1" defaultMemberUniqueName="[Table1].[DateDifference].[All]" allUniqueName="[Table1].[DateDifference].[All]" dimensionUniqueName="[Table1]" displayFolder="" count="0" memberValueDatatype="20" unbalanced="0"/>
    <cacheHierarchy uniqueName="[Table1].[Target]" caption="Target" attribute="1" defaultMemberUniqueName="[Table1].[Target].[All]" allUniqueName="[Table1].[Target].[All]" dimensionUniqueName="[Table1]" displayFolder="" count="0" memberValueDatatype="130" unbalanced="0"/>
    <cacheHierarchy uniqueName="[Table1].[Order Day]" caption="Order Day" attribute="1" defaultMemberUniqueName="[Table1].[Order Day].[All]" allUniqueName="[Table1].[Order Day].[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OrderID]" caption="Sum of OrderID" measure="1" displayFolder="" measureGroup="Table1" count="0" hidden="1">
      <extLst>
        <ext xmlns:x15="http://schemas.microsoft.com/office/spreadsheetml/2010/11/main" uri="{B97F6D7D-B522-45F9-BDA1-12C45D357490}">
          <x15:cacheHierarchy aggregatedColumn="0"/>
        </ext>
      </extLst>
    </cacheHierarchy>
    <cacheHierarchy uniqueName="[Measures].[Count of OrderID]" caption="Count of OrderID" measure="1" displayFolder="" measureGroup="Table1" count="0" hidden="1">
      <extLst>
        <ext xmlns:x15="http://schemas.microsoft.com/office/spreadsheetml/2010/11/main" uri="{B97F6D7D-B522-45F9-BDA1-12C45D357490}">
          <x15:cacheHierarchy aggregatedColumn="0"/>
        </ext>
      </extLst>
    </cacheHierarchy>
    <cacheHierarchy uniqueName="[Measures].[Sum of New Revenue]" caption="Sum of New Revenue" measure="1" displayFolder="" measureGroup="Table1" count="0" hidden="1">
      <extLst>
        <ext xmlns:x15="http://schemas.microsoft.com/office/spreadsheetml/2010/11/main" uri="{B97F6D7D-B522-45F9-BDA1-12C45D357490}">
          <x15:cacheHierarchy aggregatedColumn="10"/>
        </ext>
      </extLst>
    </cacheHierarchy>
    <cacheHierarchy uniqueName="[Measures].[Sum of New Profit]" caption="Sum of New Profit" measure="1" displayFolder="" measureGroup="Table1" count="0" hidden="1">
      <extLst>
        <ext xmlns:x15="http://schemas.microsoft.com/office/spreadsheetml/2010/11/main" uri="{B97F6D7D-B522-45F9-BDA1-12C45D357490}">
          <x15:cacheHierarchy aggregatedColumn="11"/>
        </ext>
      </extLst>
    </cacheHierarchy>
    <cacheHierarchy uniqueName="[Measures].[Sum of CookiesShipped]" caption="Sum of CookiesShipped" measure="1" displayFolder="" measureGroup="Table1" count="0" hidden="1">
      <extLst>
        <ext xmlns:x15="http://schemas.microsoft.com/office/spreadsheetml/2010/11/main" uri="{B97F6D7D-B522-45F9-BDA1-12C45D357490}">
          <x15:cacheHierarchy aggregatedColumn="9"/>
        </ext>
      </extLst>
    </cacheHierarchy>
    <cacheHierarchy uniqueName="[Measures].[Sum of DateDifference]" caption="Sum of DateDifference" measure="1" displayFolder="" measureGroup="Table1" count="0" hidden="1">
      <extLst>
        <ext xmlns:x15="http://schemas.microsoft.com/office/spreadsheetml/2010/11/main" uri="{B97F6D7D-B522-45F9-BDA1-12C45D357490}">
          <x15:cacheHierarchy aggregatedColumn="19"/>
        </ext>
      </extLst>
    </cacheHierarchy>
    <cacheHierarchy uniqueName="[Measures].[Average of DateDifference]" caption="Average of DateDifference" measure="1" displayFolder="" measureGroup="Table1" count="0" hidden="1">
      <extLst>
        <ext xmlns:x15="http://schemas.microsoft.com/office/spreadsheetml/2010/11/main" uri="{B97F6D7D-B522-45F9-BDA1-12C45D357490}">
          <x15:cacheHierarchy aggregatedColumn="19"/>
        </ext>
      </extLst>
    </cacheHierarchy>
    <cacheHierarchy uniqueName="[Measures].[Count of OrderStatus]" caption="Count of OrderStatus" measure="1" displayFolder="" measureGroup="Table1" count="0" hidden="1">
      <extLst>
        <ext xmlns:x15="http://schemas.microsoft.com/office/spreadsheetml/2010/11/main" uri="{B97F6D7D-B522-45F9-BDA1-12C45D357490}">
          <x15:cacheHierarchy aggregatedColumn="18"/>
        </ext>
      </extLst>
    </cacheHierarchy>
    <cacheHierarchy uniqueName="[Measures].[Count of City]" caption="Count of City" measure="1" displayFolder="" measureGroup="Table1" count="0" hidden="1">
      <extLst>
        <ext xmlns:x15="http://schemas.microsoft.com/office/spreadsheetml/2010/11/main" uri="{B97F6D7D-B522-45F9-BDA1-12C45D357490}">
          <x15:cacheHierarchy aggregatedColumn="3"/>
        </ext>
      </extLst>
    </cacheHierarchy>
    <cacheHierarchy uniqueName="[Measures].[Count of RestaurantName]" caption="Count of RestaurantName" measure="1" displayFolder="" measureGroup="Table1" count="0" hidden="1">
      <extLst>
        <ext xmlns:x15="http://schemas.microsoft.com/office/spreadsheetml/2010/11/main" uri="{B97F6D7D-B522-45F9-BDA1-12C45D357490}">
          <x15:cacheHierarchy aggregatedColumn="2"/>
        </ext>
      </extLst>
    </cacheHierarchy>
    <cacheHierarchy uniqueName="[Measures].[Distinct Count of RestaurantName]" caption="Distinct Count of RestaurantName" measure="1" displayFolder="" measureGroup="Table1" count="0" hidden="1">
      <extLst>
        <ext xmlns:x15="http://schemas.microsoft.com/office/spreadsheetml/2010/11/main" uri="{B97F6D7D-B522-45F9-BDA1-12C45D357490}">
          <x15:cacheHierarchy aggregatedColumn="2"/>
        </ext>
      </extLst>
    </cacheHierarchy>
  </cacheHierarchies>
  <kpis count="0"/>
  <extLst>
    <ext xmlns:x14="http://schemas.microsoft.com/office/spreadsheetml/2009/9/main" uri="{725AE2AE-9491-48be-B2B4-4EB974FC3084}">
      <x14:pivotCacheDefinition slicerData="1" pivotCacheId="1618605002"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01.678584490743" backgroundQuery="1" createdVersion="3" refreshedVersion="8" minRefreshableVersion="3" recordCount="0" supportSubquery="1" supportAdvancedDrill="1" xr:uid="{30EA91B2-A1AD-4E77-8CF2-9D1C804D8A08}">
  <cacheSource type="external" connectionId="1">
    <extLst>
      <ext xmlns:x14="http://schemas.microsoft.com/office/spreadsheetml/2009/9/main" uri="{F057638F-6D5F-4e77-A914-E7F072B9BCA8}">
        <x14:sourceConnection name="ThisWorkbookDataModel"/>
      </ext>
    </extLst>
  </cacheSource>
  <cacheFields count="0"/>
  <cacheHierarchies count="35">
    <cacheHierarchy uniqueName="[Table1].[OrderID]" caption="OrderID" attribute="1" defaultMemberUniqueName="[Table1].[OrderID].[All]" allUniqueName="[Table1].[OrderID].[All]" dimensionUniqueName="[Table1]" displayFolder="" count="0" memberValueDatatype="20" unbalanced="0"/>
    <cacheHierarchy uniqueName="[Table1].[RestaurantID]" caption="RestaurantID" attribute="1" defaultMemberUniqueName="[Table1].[RestaurantID].[All]" allUniqueName="[Table1].[RestaurantID].[All]" dimensionUniqueName="[Table1]" displayFolder="" count="0" memberValueDatatype="20" unbalanced="0"/>
    <cacheHierarchy uniqueName="[Table1].[RestaurantName]" caption="RestaurantName" attribute="1" defaultMemberUniqueName="[Table1].[RestaurantName].[All]" allUniqueName="[Table1].[RestaurantName].[All]" dimensionUniqueName="[Table1]" displayFolder="" count="0" memberValueDatatype="130" unbalanced="0"/>
    <cacheHierarchy uniqueName="[Table1].[City]" caption="City" attribute="1" defaultMemberUniqueName="[Table1].[City].[All]" allUniqueName="[Table1].[City].[All]" dimensionUniqueName="[Table1]" displayFolder="" count="2" memberValueDatatype="130" unbalanced="0"/>
    <cacheHierarchy uniqueName="[Table1].[Markup (%)]" caption="Markup (%)" attribute="1" defaultMemberUniqueName="[Table1].[Markup (%)].[All]" allUniqueName="[Table1].[Markup (%)].[All]" dimensionUniqueName="[Table1]" displayFolder="" count="0" memberValueDatatype="5" unbalanced="0"/>
    <cacheHierarchy uniqueName="[Table1].[Cost]" caption="Cost" attribute="1" defaultMemberUniqueName="[Table1].[Cost].[All]" allUniqueName="[Table1].[Cost].[All]" dimensionUniqueName="[Table1]" displayFolder="" count="0" memberValueDatatype="5" unbalanced="0"/>
    <cacheHierarchy uniqueName="[Table1].[Total Cost]" caption="Total Cost" attribute="1" defaultMemberUniqueName="[Table1].[Total Cost].[All]" allUniqueName="[Table1].[Total Cost].[All]" dimensionUniqueName="[Table1]" displayFolder="" count="0" memberValueDatatype="5" unbalanced="0"/>
    <cacheHierarchy uniqueName="[Table1].[Selling Price]" caption="Selling Price" attribute="1" defaultMemberUniqueName="[Table1].[Selling Price].[All]" allUniqueName="[Table1].[Selling Price].[All]" dimensionUniqueName="[Table1]" displayFolder="" count="0" memberValueDatatype="5" unbalanced="0"/>
    <cacheHierarchy uniqueName="[Table1].[total selling price]" caption="total selling price" attribute="1" defaultMemberUniqueName="[Table1].[total selling price].[All]" allUniqueName="[Table1].[total selling price].[All]" dimensionUniqueName="[Table1]" displayFolder="" count="0" memberValueDatatype="5" unbalanced="0"/>
    <cacheHierarchy uniqueName="[Table1].[CookiesShipped]" caption="CookiesShipped" attribute="1" defaultMemberUniqueName="[Table1].[CookiesShipped].[All]" allUniqueName="[Table1].[CookiesShipped].[All]" dimensionUniqueName="[Table1]" displayFolder="" count="0" memberValueDatatype="20" unbalanced="0"/>
    <cacheHierarchy uniqueName="[Table1].[New Revenue]" caption="New Revenue" attribute="1" defaultMemberUniqueName="[Table1].[New Revenue].[All]" allUniqueName="[Table1].[New Revenue].[All]" dimensionUniqueName="[Table1]" displayFolder="" count="0" memberValueDatatype="5" unbalanced="0"/>
    <cacheHierarchy uniqueName="[Table1].[New Profit]" caption="New Profit" attribute="1" defaultMemberUniqueName="[Table1].[New Profit].[All]" allUniqueName="[Table1].[New Profit].[All]" dimensionUniqueName="[Table1]" displayFolder="" count="0" memberValueDatatype="5" unbalanced="0"/>
    <cacheHierarchy uniqueName="[Table1].[Profit Margin (%)]" caption="Profit Margin (%)" attribute="1" defaultMemberUniqueName="[Table1].[Profit Margin (%)].[All]" allUniqueName="[Table1].[Profit Margin (%)].[All]" dimensionUniqueName="[Table1]" displayFolder="" count="0" memberValueDatatype="5" unbalanced="0"/>
    <cacheHierarchy uniqueName="[Table1].[OrderDate]" caption="OrderDate" attribute="1" time="1" defaultMemberUniqueName="[Table1].[OrderDate].[All]" allUniqueName="[Table1].[OrderDate].[All]" dimensionUniqueName="[Table1]" displayFolder="" count="0" memberValueDatatype="7" unbalanced="0"/>
    <cacheHierarchy uniqueName="[Table1].[OrderDay]" caption="OrderDay" attribute="1" defaultMemberUniqueName="[Table1].[OrderDay].[All]" allUniqueName="[Table1].[OrderDay].[All]" dimensionUniqueName="[Table1]" displayFolder="" count="0" memberValueDatatype="130" unbalanced="0"/>
    <cacheHierarchy uniqueName="[Table1].[Orderweeks]" caption="Orderweeks" attribute="1" defaultMemberUniqueName="[Table1].[Orderweeks].[All]" allUniqueName="[Table1].[Orderweeks].[All]" dimensionUniqueName="[Table1]" displayFolder="" count="0" memberValueDatatype="130" unbalanced="0"/>
    <cacheHierarchy uniqueName="[Table1].[ShipDate]" caption="ShipDate" attribute="1" time="1" defaultMemberUniqueName="[Table1].[ShipDate].[All]" allUniqueName="[Table1].[ShipDate].[All]" dimensionUniqueName="[Table1]" displayFolder="" count="0" memberValueDatatype="7" unbalanced="0"/>
    <cacheHierarchy uniqueName="[Table1].[Shipday]" caption="Shipday" attribute="1" defaultMemberUniqueName="[Table1].[Shipday].[All]" allUniqueName="[Table1].[Shipday].[All]" dimensionUniqueName="[Table1]" displayFolder="" count="0" memberValueDatatype="130" unbalanced="0"/>
    <cacheHierarchy uniqueName="[Table1].[OrderStatus]" caption="OrderStatus" attribute="1" defaultMemberUniqueName="[Table1].[OrderStatus].[All]" allUniqueName="[Table1].[OrderStatus].[All]" dimensionUniqueName="[Table1]" displayFolder="" count="2" memberValueDatatype="130" unbalanced="0"/>
    <cacheHierarchy uniqueName="[Table1].[DateDifference]" caption="DateDifference" attribute="1" defaultMemberUniqueName="[Table1].[DateDifference].[All]" allUniqueName="[Table1].[DateDifference].[All]" dimensionUniqueName="[Table1]" displayFolder="" count="0" memberValueDatatype="20" unbalanced="0"/>
    <cacheHierarchy uniqueName="[Table1].[Target]" caption="Target" attribute="1" defaultMemberUniqueName="[Table1].[Target].[All]" allUniqueName="[Table1].[Target].[All]" dimensionUniqueName="[Table1]" displayFolder="" count="0" memberValueDatatype="130" unbalanced="0"/>
    <cacheHierarchy uniqueName="[Table1].[Order Day]" caption="Order Day" attribute="1" defaultMemberUniqueName="[Table1].[Order Day].[All]" allUniqueName="[Table1].[Order Day].[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OrderID]" caption="Sum of OrderID" measure="1" displayFolder="" measureGroup="Table1" count="0" hidden="1">
      <extLst>
        <ext xmlns:x15="http://schemas.microsoft.com/office/spreadsheetml/2010/11/main" uri="{B97F6D7D-B522-45F9-BDA1-12C45D357490}">
          <x15:cacheHierarchy aggregatedColumn="0"/>
        </ext>
      </extLst>
    </cacheHierarchy>
    <cacheHierarchy uniqueName="[Measures].[Count of OrderID]" caption="Count of OrderID" measure="1" displayFolder="" measureGroup="Table1" count="0" hidden="1">
      <extLst>
        <ext xmlns:x15="http://schemas.microsoft.com/office/spreadsheetml/2010/11/main" uri="{B97F6D7D-B522-45F9-BDA1-12C45D357490}">
          <x15:cacheHierarchy aggregatedColumn="0"/>
        </ext>
      </extLst>
    </cacheHierarchy>
    <cacheHierarchy uniqueName="[Measures].[Sum of New Revenue]" caption="Sum of New Revenue" measure="1" displayFolder="" measureGroup="Table1" count="0" hidden="1">
      <extLst>
        <ext xmlns:x15="http://schemas.microsoft.com/office/spreadsheetml/2010/11/main" uri="{B97F6D7D-B522-45F9-BDA1-12C45D357490}">
          <x15:cacheHierarchy aggregatedColumn="10"/>
        </ext>
      </extLst>
    </cacheHierarchy>
    <cacheHierarchy uniqueName="[Measures].[Sum of New Profit]" caption="Sum of New Profit" measure="1" displayFolder="" measureGroup="Table1" count="0" hidden="1">
      <extLst>
        <ext xmlns:x15="http://schemas.microsoft.com/office/spreadsheetml/2010/11/main" uri="{B97F6D7D-B522-45F9-BDA1-12C45D357490}">
          <x15:cacheHierarchy aggregatedColumn="11"/>
        </ext>
      </extLst>
    </cacheHierarchy>
    <cacheHierarchy uniqueName="[Measures].[Sum of CookiesShipped]" caption="Sum of CookiesShipped" measure="1" displayFolder="" measureGroup="Table1" count="0" hidden="1">
      <extLst>
        <ext xmlns:x15="http://schemas.microsoft.com/office/spreadsheetml/2010/11/main" uri="{B97F6D7D-B522-45F9-BDA1-12C45D357490}">
          <x15:cacheHierarchy aggregatedColumn="9"/>
        </ext>
      </extLst>
    </cacheHierarchy>
    <cacheHierarchy uniqueName="[Measures].[Sum of DateDifference]" caption="Sum of DateDifference" measure="1" displayFolder="" measureGroup="Table1" count="0" hidden="1">
      <extLst>
        <ext xmlns:x15="http://schemas.microsoft.com/office/spreadsheetml/2010/11/main" uri="{B97F6D7D-B522-45F9-BDA1-12C45D357490}">
          <x15:cacheHierarchy aggregatedColumn="19"/>
        </ext>
      </extLst>
    </cacheHierarchy>
    <cacheHierarchy uniqueName="[Measures].[Average of DateDifference]" caption="Average of DateDifference" measure="1" displayFolder="" measureGroup="Table1" count="0" hidden="1">
      <extLst>
        <ext xmlns:x15="http://schemas.microsoft.com/office/spreadsheetml/2010/11/main" uri="{B97F6D7D-B522-45F9-BDA1-12C45D357490}">
          <x15:cacheHierarchy aggregatedColumn="19"/>
        </ext>
      </extLst>
    </cacheHierarchy>
    <cacheHierarchy uniqueName="[Measures].[Count of OrderStatus]" caption="Count of OrderStatus" measure="1" displayFolder="" measureGroup="Table1" count="0" hidden="1">
      <extLst>
        <ext xmlns:x15="http://schemas.microsoft.com/office/spreadsheetml/2010/11/main" uri="{B97F6D7D-B522-45F9-BDA1-12C45D357490}">
          <x15:cacheHierarchy aggregatedColumn="18"/>
        </ext>
      </extLst>
    </cacheHierarchy>
    <cacheHierarchy uniqueName="[Measures].[Count of City]" caption="Count of City" measure="1" displayFolder="" measureGroup="Table1" count="0" hidden="1">
      <extLst>
        <ext xmlns:x15="http://schemas.microsoft.com/office/spreadsheetml/2010/11/main" uri="{B97F6D7D-B522-45F9-BDA1-12C45D357490}">
          <x15:cacheHierarchy aggregatedColumn="3"/>
        </ext>
      </extLst>
    </cacheHierarchy>
    <cacheHierarchy uniqueName="[Measures].[Count of RestaurantName]" caption="Count of RestaurantName" measure="1" displayFolder="" measureGroup="Table1" count="0" hidden="1">
      <extLst>
        <ext xmlns:x15="http://schemas.microsoft.com/office/spreadsheetml/2010/11/main" uri="{B97F6D7D-B522-45F9-BDA1-12C45D357490}">
          <x15:cacheHierarchy aggregatedColumn="2"/>
        </ext>
      </extLst>
    </cacheHierarchy>
    <cacheHierarchy uniqueName="[Measures].[Distinct Count of RestaurantName]" caption="Distinct Count of RestaurantName" measure="1" displayFolder="" measureGroup="Table1" count="0" hidden="1">
      <extLst>
        <ext xmlns:x15="http://schemas.microsoft.com/office/spreadsheetml/2010/11/main" uri="{B97F6D7D-B522-45F9-BDA1-12C45D357490}">
          <x15:cacheHierarchy aggregatedColumn="2"/>
        </ext>
      </extLst>
    </cacheHierarchy>
  </cacheHierarchies>
  <kpis count="0"/>
  <extLst>
    <ext xmlns:x14="http://schemas.microsoft.com/office/spreadsheetml/2009/9/main" uri="{725AE2AE-9491-48be-B2B4-4EB974FC3084}">
      <x14:pivotCacheDefinition slicerData="1" pivotCacheId="7992650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211029A-09A7-4082-841A-E40FFD1AC51E}" name="PivotTable7" cacheId="7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6:B30"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Average of DateDifference" fld="1" subtotal="average" baseField="0" baseItem="0" numFmtId="2"/>
  </dataFields>
  <pivotHierarchies count="35">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caption="Count of OrderID"/>
    <pivotHierarchy dragToData="1"/>
    <pivotHierarchy dragToData="1"/>
    <pivotHierarchy dragToData="1"/>
    <pivotHierarchy dragToData="1"/>
    <pivotHierarchy dragToData="1" caption="Average of DateDifferenc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Omolara Mercy Cookies Sales Analysis Dashboard.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15C8DCF-82AA-4DFB-9E5C-7EF55F9402C7}" name="PivotTable11" cacheId="68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N17:N18"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CookiesShipped" fld="0" baseField="0" baseItem="0"/>
  </dataFields>
  <pivotHierarchies count="35">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caption="Count of Order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Omolara Mercy Cookies Sales Analysis Dashboard.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A2A40E9-E126-41DB-AEAF-3094EFC7A77A}" name="PivotTable1" cacheId="68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4:B12" firstHeaderRow="1" firstDataRow="1" firstDataCol="1"/>
  <pivotFields count="3">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Count of OrderID" fld="1" subtotal="count" baseField="0" baseItem="0"/>
  </dataFields>
  <chartFormats count="1">
    <chartFormat chart="3" format="2" series="1">
      <pivotArea type="data" outline="0" fieldPosition="0">
        <references count="1">
          <reference field="4294967294" count="1" selected="0">
            <x v="0"/>
          </reference>
        </references>
      </pivotArea>
    </chartFormat>
  </chartFormats>
  <pivotHierarchies count="35">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caption="Count of Order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Omolara Mercy Cookies Sales Analysis Dashboard.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8533035-4D37-4F6C-A722-81D5019D5A9A}" name="PivotTable6" cacheId="70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J16:K20"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Count of OrderID" fld="1" subtotal="count" baseField="0" baseItem="0"/>
  </dataFields>
  <chartFormats count="4">
    <chartFormat chart="4" format="7" series="1">
      <pivotArea type="data" outline="0" fieldPosition="0">
        <references count="1">
          <reference field="4294967294" count="1" selected="0">
            <x v="0"/>
          </reference>
        </references>
      </pivotArea>
    </chartFormat>
    <chartFormat chart="4" format="8">
      <pivotArea type="data" outline="0" fieldPosition="0">
        <references count="2">
          <reference field="4294967294" count="1" selected="0">
            <x v="0"/>
          </reference>
          <reference field="0" count="1" selected="0">
            <x v="0"/>
          </reference>
        </references>
      </pivotArea>
    </chartFormat>
    <chartFormat chart="4" format="9">
      <pivotArea type="data" outline="0" fieldPosition="0">
        <references count="2">
          <reference field="4294967294" count="1" selected="0">
            <x v="0"/>
          </reference>
          <reference field="0" count="1" selected="0">
            <x v="1"/>
          </reference>
        </references>
      </pivotArea>
    </chartFormat>
    <chartFormat chart="4" format="10">
      <pivotArea type="data" outline="0" fieldPosition="0">
        <references count="2">
          <reference field="4294967294" count="1" selected="0">
            <x v="0"/>
          </reference>
          <reference field="0" count="1" selected="0">
            <x v="2"/>
          </reference>
        </references>
      </pivotArea>
    </chartFormat>
  </chartFormats>
  <pivotHierarchies count="35">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caption="Count of Order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Omolara Mercy Cookies Sales Analysis Dashboard.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1AA926A-F3AC-4300-84A6-ED3EBF3A61AF}" name="PivotTable5" cacheId="70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E16:F22"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New Profit" fld="1" baseField="0" baseItem="0"/>
  </dataFields>
  <formats count="1">
    <format dxfId="54">
      <pivotArea collapsedLevelsAreSubtotals="1" fieldPosition="0">
        <references count="1">
          <reference field="0" count="0"/>
        </references>
      </pivotArea>
    </format>
  </formats>
  <chartFormats count="1">
    <chartFormat chart="3" format="2" series="1">
      <pivotArea type="data" outline="0" fieldPosition="0">
        <references count="1">
          <reference field="4294967294" count="1" selected="0">
            <x v="0"/>
          </reference>
        </references>
      </pivotArea>
    </chartFormat>
  </chartFormats>
  <pivotHierarchies count="35">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caption="Count of Order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Omolara Mercy Cookies Sales Analysis Dashboard.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5529D50-5A64-447C-991D-D73F097AFA65}" name="PivotTable10" cacheId="68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N13:N1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New Profit" fld="0" baseField="0" baseItem="0"/>
  </dataFields>
  <pivotHierarchies count="35">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caption="Count of Order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Omolara Mercy Cookies Sales Analysis Dashboard.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5614A41-EA1E-4899-BAEA-599DE764CCBE}" name="PivotTable4" cacheId="70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6:B22"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New Revenue" fld="1" baseField="0" baseItem="0"/>
  </dataFields>
  <formats count="1">
    <format dxfId="55">
      <pivotArea collapsedLevelsAreSubtotals="1" fieldPosition="0">
        <references count="1">
          <reference field="0" count="0"/>
        </references>
      </pivotArea>
    </format>
  </formats>
  <chartFormats count="1">
    <chartFormat chart="3" format="2" series="1">
      <pivotArea type="data" outline="0" fieldPosition="0">
        <references count="1">
          <reference field="4294967294" count="1" selected="0">
            <x v="0"/>
          </reference>
        </references>
      </pivotArea>
    </chartFormat>
  </chartFormats>
  <pivotHierarchies count="35">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caption="Count of Order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Omolara Mercy Cookies Sales Analysis Dashboard.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BB0FCB7-E4DB-4401-AE26-EC2198BF9CEB}" name="PivotTable9" cacheId="7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N9:N10"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New Revenue" fld="0" baseField="0" baseItem="0"/>
  </dataFields>
  <pivotHierarchies count="35">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caption="Count of Order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Omolara Mercy Cookies Sales Analysis Dashboard.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E4B4915-6E41-4647-97EE-FC4A9307000C}" name="PivotTable3" cacheId="68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J4:L10" firstHeaderRow="0" firstDataRow="1" firstDataCol="1"/>
  <pivotFields count="4">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Fields count="1">
    <field x="-2"/>
  </colFields>
  <colItems count="2">
    <i>
      <x/>
    </i>
    <i i="1">
      <x v="1"/>
    </i>
  </colItems>
  <dataFields count="2">
    <dataField name="Sum of CookiesShipped" fld="1" baseField="0" baseItem="0"/>
    <dataField name="Sum of New Profit" fld="2" baseField="0" baseItem="0"/>
  </dataFields>
  <chartFormats count="6">
    <chartFormat chart="10" format="4"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1"/>
          </reference>
        </references>
      </pivotArea>
    </chartFormat>
    <chartFormat chart="10" format="6">
      <pivotArea type="data" outline="0" fieldPosition="0">
        <references count="2">
          <reference field="4294967294" count="1" selected="0">
            <x v="1"/>
          </reference>
          <reference field="0" count="1" selected="0">
            <x v="0"/>
          </reference>
        </references>
      </pivotArea>
    </chartFormat>
    <chartFormat chart="10" format="7">
      <pivotArea type="data" outline="0" fieldPosition="0">
        <references count="2">
          <reference field="4294967294" count="1" selected="0">
            <x v="1"/>
          </reference>
          <reference field="0" count="1" selected="0">
            <x v="4"/>
          </reference>
        </references>
      </pivotArea>
    </chartFormat>
    <chartFormat chart="10" format="8">
      <pivotArea type="data" outline="0" fieldPosition="0">
        <references count="2">
          <reference field="4294967294" count="1" selected="0">
            <x v="1"/>
          </reference>
          <reference field="0" count="1" selected="0">
            <x v="3"/>
          </reference>
        </references>
      </pivotArea>
    </chartFormat>
    <chartFormat chart="10" format="9">
      <pivotArea type="data" outline="0" fieldPosition="0">
        <references count="2">
          <reference field="4294967294" count="1" selected="0">
            <x v="0"/>
          </reference>
          <reference field="0" count="1" selected="0">
            <x v="4"/>
          </reference>
        </references>
      </pivotArea>
    </chartFormat>
  </chartFormats>
  <pivotHierarchies count="35">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caption="Count of Order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Omolara Mercy Cookies Sales Analysis Dashboard.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5D95513-9FF5-4DF6-ACCD-A72A13F30A1C}" name="PivotTable8" cacheId="7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N5:N6"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OrderID" fld="0" subtotal="count" baseField="0" baseItem="0"/>
  </dataFields>
  <pivotHierarchies count="35">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caption="Count of Order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Omolara Mercy Cookies Sales Analysis Dashboard.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8576E57-6B17-488C-800C-633FD9C51D14}" name="PivotTable15" cacheId="69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N30:N31"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Distinct Count of RestaurantName" fld="0" subtotal="count" baseField="0" baseItem="0">
      <extLst>
        <ext xmlns:x15="http://schemas.microsoft.com/office/spreadsheetml/2010/11/main" uri="{FABC7310-3BB5-11E1-824E-6D434824019B}">
          <x15:dataField isCountDistinct="1"/>
        </ext>
      </extLst>
    </dataField>
  </dataFields>
  <pivotHierarchies count="35">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caption="Count of OrderID"/>
    <pivotHierarchy dragToData="1"/>
    <pivotHierarchy dragToData="1"/>
    <pivotHierarchy dragToData="1"/>
    <pivotHierarchy dragToData="1"/>
    <pivotHierarchy dragToData="1"/>
    <pivotHierarchy dragToData="1"/>
    <pivotHierarchy dragToData="1"/>
    <pivotHierarchy dragToData="1"/>
    <pivotHierarchy dragToData="1" caption="Distinct Count of RestaurantName"/>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Omolara Mercy Cookies Sales Analysis Dashboard.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F4FD6AD-17DD-4C3E-A18E-AEA7F02D6966}" name="PivotTable12" cacheId="69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N21:O25"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Count of OrderStatus" fld="1" subtotal="count" showDataAs="percentOfTotal" baseField="0" baseItem="0" numFmtId="10"/>
  </dataFields>
  <pivotHierarchies count="35">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caption="Count of Order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Omolara Mercy Cookies Sales Analysis Dashboard.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34D6374C-AAB8-4923-83C5-1DA4BCF4343F}" name="PivotTable2" cacheId="69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E4:G10" firstHeaderRow="0" firstDataRow="1" firstDataCol="1"/>
  <pivotFields count="4">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Fields count="1">
    <field x="-2"/>
  </colFields>
  <colItems count="2">
    <i>
      <x/>
    </i>
    <i i="1">
      <x v="1"/>
    </i>
  </colItems>
  <dataFields count="2">
    <dataField name="Sum of New Revenue" fld="1" baseField="0" baseItem="0"/>
    <dataField name="Sum of New Profit" fld="2" baseField="0" baseItem="0"/>
  </dataFields>
  <formats count="1">
    <format dxfId="56">
      <pivotArea collapsedLevelsAreSubtotals="1" fieldPosition="0">
        <references count="2">
          <reference field="4294967294" count="1" selected="0">
            <x v="1"/>
          </reference>
          <reference field="0" count="0"/>
        </references>
      </pivotArea>
    </format>
  </formats>
  <chartFormats count="4">
    <chartFormat chart="7" format="8" series="1">
      <pivotArea type="data" outline="0" fieldPosition="0">
        <references count="1">
          <reference field="4294967294" count="1" selected="0">
            <x v="0"/>
          </reference>
        </references>
      </pivotArea>
    </chartFormat>
    <chartFormat chart="7" format="9">
      <pivotArea type="data" outline="0" fieldPosition="0">
        <references count="2">
          <reference field="4294967294" count="1" selected="0">
            <x v="0"/>
          </reference>
          <reference field="0" count="1" selected="0">
            <x v="3"/>
          </reference>
        </references>
      </pivotArea>
    </chartFormat>
    <chartFormat chart="7" format="10" series="1">
      <pivotArea type="data" outline="0" fieldPosition="0">
        <references count="1">
          <reference field="4294967294" count="1" selected="0">
            <x v="1"/>
          </reference>
        </references>
      </pivotArea>
    </chartFormat>
    <chartFormat chart="7" format="11">
      <pivotArea type="data" outline="0" fieldPosition="0">
        <references count="2">
          <reference field="4294967294" count="1" selected="0">
            <x v="1"/>
          </reference>
          <reference field="0" count="1" selected="0">
            <x v="0"/>
          </reference>
        </references>
      </pivotArea>
    </chartFormat>
  </chartFormats>
  <pivotHierarchies count="35">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caption="Count of Order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Omolara Mercy Cookies Sales Analysis Dashboard.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staurantName1" xr10:uid="{577855C4-5BE7-4ADF-BD46-986AF6060377}" sourceName="[Table1].[RestaurantName]">
  <pivotTables>
    <pivotTable tabId="5" name="PivotTable1"/>
    <pivotTable tabId="5" name="PivotTable10"/>
    <pivotTable tabId="5" name="PivotTable11"/>
    <pivotTable tabId="5" name="PivotTable12"/>
    <pivotTable tabId="5" name="PivotTable15"/>
    <pivotTable tabId="5" name="PivotTable2"/>
    <pivotTable tabId="5" name="PivotTable3"/>
    <pivotTable tabId="5" name="PivotTable4"/>
    <pivotTable tabId="5" name="PivotTable5"/>
    <pivotTable tabId="5" name="PivotTable6"/>
    <pivotTable tabId="5" name="PivotTable7"/>
    <pivotTable tabId="5" name="PivotTable8"/>
    <pivotTable tabId="5" name="PivotTable9"/>
  </pivotTables>
  <data>
    <olap pivotCacheId="1618605002">
      <levels count="2">
        <level uniqueName="[Table1].[RestaurantName].[(All)]" sourceCaption="(All)" count="0"/>
        <level uniqueName="[Table1].[RestaurantName].[RestaurantName]" sourceCaption="RestaurantName" count="5">
          <ranges>
            <range startItem="0">
              <i n="[Table1].[RestaurantName].&amp;[Burger Town]" c="Burger Town"/>
              <i n="[Table1].[RestaurantName].&amp;[Pasta Place]" c="Pasta Place"/>
              <i n="[Table1].[RestaurantName].&amp;[Pizza Palace]" c="Pizza Palace"/>
              <i n="[Table1].[RestaurantName].&amp;[Sushi World]" c="Sushi World"/>
              <i n="[Table1].[RestaurantName].&amp;[Taco Land]" c="Taco Land"/>
            </range>
          </ranges>
        </level>
      </levels>
      <selections count="1">
        <selection n="[Table1].[RestaurantNam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Status1" xr10:uid="{CF27090E-782E-4A86-A637-28E01BADBBE6}" sourceName="[Table1].[OrderStatus]">
  <pivotTables>
    <pivotTable tabId="5" name="PivotTable1"/>
    <pivotTable tabId="5" name="PivotTable10"/>
    <pivotTable tabId="5" name="PivotTable11"/>
    <pivotTable tabId="5" name="PivotTable12"/>
    <pivotTable tabId="5" name="PivotTable15"/>
    <pivotTable tabId="5" name="PivotTable2"/>
    <pivotTable tabId="5" name="PivotTable3"/>
    <pivotTable tabId="5" name="PivotTable4"/>
    <pivotTable tabId="5" name="PivotTable5"/>
    <pivotTable tabId="5" name="PivotTable6"/>
    <pivotTable tabId="5" name="PivotTable7"/>
    <pivotTable tabId="5" name="PivotTable8"/>
    <pivotTable tabId="5" name="PivotTable9"/>
  </pivotTables>
  <data>
    <olap pivotCacheId="79926504">
      <levels count="2">
        <level uniqueName="[Table1].[OrderStatus].[(All)]" sourceCaption="(All)" count="0"/>
        <level uniqueName="[Table1].[OrderStatus].[OrderStatus]" sourceCaption="OrderStatus" count="3">
          <ranges>
            <range startItem="0">
              <i n="[Table1].[OrderStatus].&amp;[Cancelled]" c="Cancelled"/>
              <i n="[Table1].[OrderStatus].&amp;[Pending]" c="Pending"/>
              <i n="[Table1].[OrderStatus].&amp;[Shipped]" c="Shipped"/>
            </range>
          </ranges>
        </level>
      </levels>
      <selections count="1">
        <selection n="[Table1].[OrderStatus].[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1" xr10:uid="{1977AE8E-A9CE-47A3-8510-9E9112490667}" sourceName="[Table1].[City]">
  <pivotTables>
    <pivotTable tabId="5" name="PivotTable3"/>
    <pivotTable tabId="5" name="PivotTable1"/>
    <pivotTable tabId="5" name="PivotTable10"/>
    <pivotTable tabId="5" name="PivotTable11"/>
    <pivotTable tabId="5" name="PivotTable12"/>
    <pivotTable tabId="5" name="PivotTable15"/>
    <pivotTable tabId="5" name="PivotTable2"/>
    <pivotTable tabId="5" name="PivotTable4"/>
    <pivotTable tabId="5" name="PivotTable5"/>
    <pivotTable tabId="5" name="PivotTable6"/>
    <pivotTable tabId="5" name="PivotTable7"/>
    <pivotTable tabId="5" name="PivotTable8"/>
    <pivotTable tabId="5" name="PivotTable9"/>
  </pivotTables>
  <data>
    <olap pivotCacheId="79926504">
      <levels count="2">
        <level uniqueName="[Table1].[City].[(All)]" sourceCaption="(All)" count="0"/>
        <level uniqueName="[Table1].[City].[City]" sourceCaption="City" count="5">
          <ranges>
            <range startItem="0">
              <i n="[Table1].[City].&amp;[Chicago]" c="Chicago"/>
              <i n="[Table1].[City].&amp;[Houston]" c="Houston"/>
              <i n="[Table1].[City].&amp;[Los Angeles]" c="Los Angeles"/>
              <i n="[Table1].[City].&amp;[New York]" c="New York"/>
              <i n="[Table1].[City].&amp;[San Francisco]" c="San Francisco"/>
            </range>
          </ranges>
        </level>
      </levels>
      <selections count="1">
        <selection n="[Table1].[Cit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staurantName 1" xr10:uid="{C1F5FB75-8039-4BAD-AE76-6A79B2FCC667}" cache="Slicer_RestaurantName1" caption="RestaurantName" columnCount="5" level="1" style="SlicerStyleDark2" rowHeight="234950"/>
  <slicer name="OrderStatus 1" xr10:uid="{17225546-90FD-4B86-A077-257527939334}" cache="Slicer_OrderStatus1" caption="OrderStatus" columnCount="3" level="1" style="SlicerStyleDark2" rowHeight="234950"/>
  <slicer name="City 1" xr10:uid="{472D3D9D-3A78-428B-82A4-B8DAD1DF9F0A}" cache="Slicer_City1" caption="City" columnCount="5" level="1" style="SlicerStyleDark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11E4304-6824-46B4-850D-9743361DC2A6}" name="Table1" displayName="Table1" ref="A1:V201" totalsRowShown="0">
  <autoFilter ref="A1:V201" xr:uid="{F11E4304-6824-46B4-850D-9743361DC2A6}"/>
  <tableColumns count="22">
    <tableColumn id="1" xr3:uid="{3BCA7076-29B2-475C-BF3E-D1877FAEFE5D}" name="OrderID"/>
    <tableColumn id="3" xr3:uid="{FFCC1548-C1BE-484D-AEFC-E0B6E7BDC823}" name="RestaurantID"/>
    <tableColumn id="4" xr3:uid="{AC51884F-1C10-4E7E-8821-4D158919BA14}" name="RestaurantName"/>
    <tableColumn id="5" xr3:uid="{FF4173FF-9AA0-432C-B2B6-4075B0C95FA9}" name="City"/>
    <tableColumn id="6" xr3:uid="{F2B0001D-FAB1-4EB5-8DB9-137679F460EC}" name="Markup (%)" dataCellStyle="Percent"/>
    <tableColumn id="7" xr3:uid="{E81FACC1-C56B-4E42-AB42-2701BE458C23}" name="Cost"/>
    <tableColumn id="8" xr3:uid="{F5B7CFBF-2ACA-4CD0-9480-23A60453AAE7}" name="Total Cost"/>
    <tableColumn id="9" xr3:uid="{D6A274A9-663F-4721-AD5C-8FA6FCCC9085}" name="Selling Price"/>
    <tableColumn id="25" xr3:uid="{612702A5-F8C8-4AAD-A5A4-0EFDE1C35FCA}" name="total selling price" dataDxfId="63">
      <calculatedColumnFormula>Table1[[#This Row],[CookiesShipped]]*Table1[[#This Row],[Selling Price]]</calculatedColumnFormula>
    </tableColumn>
    <tableColumn id="10" xr3:uid="{429DEF7E-7854-4E57-828D-F2E741A080DF}" name="CookiesShipped"/>
    <tableColumn id="11" xr3:uid="{17D2C838-FC0B-4F16-B461-7F6881C54EBC}" name="New Revenue"/>
    <tableColumn id="12" xr3:uid="{A6F6724E-88CD-4C35-9CCD-AC79049F0858}" name="New Profit"/>
    <tableColumn id="13" xr3:uid="{E743BFDD-23D9-4B34-8D04-FB02D47CFC99}" name="Profit Margin (%)"/>
    <tableColumn id="14" xr3:uid="{232DA0F5-C03B-47FA-8880-AD13F9F05ECB}" name="OrderDate" dataDxfId="62"/>
    <tableColumn id="21" xr3:uid="{72108DD8-CA2E-4B86-9CE1-C51812DCD370}" name="OrderDay" dataDxfId="61">
      <calculatedColumnFormula>TEXT(Table1[[#This Row],[OrderDate]],"dddd")</calculatedColumnFormula>
    </tableColumn>
    <tableColumn id="24" xr3:uid="{1521D9A9-2BFC-440C-9164-AF3AAECEDFB6}" name="Orderweeks" dataDxfId="60">
      <calculatedColumnFormula>IF(AND(Table1[[#This Row],[OrderDate]]&gt;=DATE(2023,7,30),Table1[[#This Row],[OrderDate]]&lt;=DATE(2023,8,5)),"Week 1",
 IF(AND(Table1[[#This Row],[OrderDate]]&gt;=DATE(2023,8,6),Table1[[#This Row],[OrderDate]]&lt;=DATE(2023,8,12)),"Week 2",
 IF(AND(Table1[[#This Row],[OrderDate]]&gt;=DATE(2023,8,13),Table1[[#This Row],[OrderDate]]&lt;=DATE(2023,8,19)),"Week 3",
 IF(AND(Table1[[#This Row],[OrderDate]]&gt;=DATE(2023,8,20),Table1[[#This Row],[OrderDate]]&lt;=DATE(2023,8,26)),"Week 4","Week 5"))))</calculatedColumnFormula>
    </tableColumn>
    <tableColumn id="15" xr3:uid="{CB093D02-9FE4-4154-9B30-47401576EDBC}" name="ShipDate" dataDxfId="59"/>
    <tableColumn id="22" xr3:uid="{38A92CC8-C2D7-4A39-A185-CCEC35968DD9}" name="Shipday" dataDxfId="58">
      <calculatedColumnFormula>TEXT(Table1[[#This Row],[ShipDate]],"dddd")</calculatedColumnFormula>
    </tableColumn>
    <tableColumn id="16" xr3:uid="{F375DFB4-7980-4166-A9AD-5F5D4F502FEA}" name="OrderStatus"/>
    <tableColumn id="17" xr3:uid="{ED516CF4-663D-4AB2-AA1E-C1B3C27AAC1E}" name="DateDifference"/>
    <tableColumn id="23" xr3:uid="{B5B810E8-C5AF-4B35-B2D5-DE302FF15F2E}" name="Target" dataDxfId="57">
      <calculatedColumnFormula>IF(Table1[[#This Row],[DateDifference]]&lt;7,"Within Target","Outside Target")</calculatedColumnFormula>
    </tableColumn>
    <tableColumn id="18" xr3:uid="{40B18910-0881-4839-8A0F-0AB30F8D6AA9}" name="Order Day"/>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F08993-C13D-41FF-A96C-8F4DAC47230D}">
  <dimension ref="A1:V201"/>
  <sheetViews>
    <sheetView tabSelected="1" topLeftCell="A2" zoomScale="88" workbookViewId="0">
      <selection activeCell="E28" sqref="E28"/>
    </sheetView>
  </sheetViews>
  <sheetFormatPr defaultRowHeight="14.4" x14ac:dyDescent="0.3"/>
  <cols>
    <col min="14" max="14" width="11.88671875" bestFit="1" customWidth="1"/>
    <col min="17" max="17" width="10.77734375" bestFit="1" customWidth="1"/>
    <col min="22" max="22" width="10.77734375" customWidth="1"/>
  </cols>
  <sheetData>
    <row r="1" spans="1:22" x14ac:dyDescent="0.3">
      <c r="A1" t="s">
        <v>0</v>
      </c>
      <c r="B1" t="s">
        <v>1</v>
      </c>
      <c r="C1" t="s">
        <v>2</v>
      </c>
      <c r="D1" t="s">
        <v>3</v>
      </c>
      <c r="E1" s="1" t="s">
        <v>4</v>
      </c>
      <c r="F1" t="s">
        <v>5</v>
      </c>
      <c r="G1" t="s">
        <v>6</v>
      </c>
      <c r="H1" t="s">
        <v>7</v>
      </c>
      <c r="I1" t="s">
        <v>8</v>
      </c>
      <c r="J1" t="s">
        <v>9</v>
      </c>
      <c r="K1" t="s">
        <v>10</v>
      </c>
      <c r="L1" t="s">
        <v>11</v>
      </c>
      <c r="M1" t="s">
        <v>12</v>
      </c>
      <c r="N1" s="2" t="s">
        <v>13</v>
      </c>
      <c r="O1" s="2" t="s">
        <v>14</v>
      </c>
      <c r="P1" s="2" t="s">
        <v>15</v>
      </c>
      <c r="Q1" s="2" t="s">
        <v>16</v>
      </c>
      <c r="R1" s="2" t="s">
        <v>17</v>
      </c>
      <c r="S1" t="s">
        <v>18</v>
      </c>
      <c r="T1" t="s">
        <v>19</v>
      </c>
      <c r="U1" t="s">
        <v>20</v>
      </c>
      <c r="V1" t="s">
        <v>21</v>
      </c>
    </row>
    <row r="2" spans="1:22" x14ac:dyDescent="0.3">
      <c r="A2">
        <v>101</v>
      </c>
      <c r="B2">
        <v>1</v>
      </c>
      <c r="C2" t="s">
        <v>22</v>
      </c>
      <c r="D2" t="s">
        <v>23</v>
      </c>
      <c r="E2" s="1">
        <v>0.35</v>
      </c>
      <c r="F2">
        <v>45.28</v>
      </c>
      <c r="G2">
        <v>226.4</v>
      </c>
      <c r="H2">
        <v>61.128000000000007</v>
      </c>
      <c r="I2">
        <f>Table1[[#This Row],[CookiesShipped]]*Table1[[#This Row],[Selling Price]]</f>
        <v>305.64000000000004</v>
      </c>
      <c r="J2">
        <v>5</v>
      </c>
      <c r="K2">
        <v>305.64</v>
      </c>
      <c r="L2">
        <v>79.239999999999995</v>
      </c>
      <c r="M2">
        <v>0.25925925925925936</v>
      </c>
      <c r="N2" s="2">
        <v>45157</v>
      </c>
      <c r="O2" s="2" t="str">
        <f>TEXT(Table1[[#This Row],[OrderDate]],"dddd")</f>
        <v>Saturday</v>
      </c>
      <c r="P2" s="2" t="str">
        <f>IF(AND(Table1[[#This Row],[OrderDate]]&gt;=DATE(2023,7,30),Table1[[#This Row],[OrderDate]]&lt;=DATE(2023,8,5)),"Week 1",
 IF(AND(Table1[[#This Row],[OrderDate]]&gt;=DATE(2023,8,6),Table1[[#This Row],[OrderDate]]&lt;=DATE(2023,8,12)),"Week 2",
 IF(AND(Table1[[#This Row],[OrderDate]]&gt;=DATE(2023,8,13),Table1[[#This Row],[OrderDate]]&lt;=DATE(2023,8,19)),"Week 3",
 IF(AND(Table1[[#This Row],[OrderDate]]&gt;=DATE(2023,8,20),Table1[[#This Row],[OrderDate]]&lt;=DATE(2023,8,26)),"Week 4","Week 5"))))</f>
        <v>Week 3</v>
      </c>
      <c r="Q2" s="2">
        <v>45159</v>
      </c>
      <c r="R2" s="2" t="str">
        <f>TEXT(Table1[[#This Row],[ShipDate]],"dddd")</f>
        <v>Monday</v>
      </c>
      <c r="S2" t="s">
        <v>24</v>
      </c>
      <c r="T2">
        <v>2</v>
      </c>
      <c r="U2" t="str">
        <f>IF(Table1[[#This Row],[DateDifference]]&lt;7,"Within Target","Outside Target")</f>
        <v>Within Target</v>
      </c>
      <c r="V2" t="s">
        <v>25</v>
      </c>
    </row>
    <row r="3" spans="1:22" x14ac:dyDescent="0.3">
      <c r="A3">
        <v>103</v>
      </c>
      <c r="B3">
        <v>1</v>
      </c>
      <c r="C3" t="s">
        <v>22</v>
      </c>
      <c r="D3" t="s">
        <v>23</v>
      </c>
      <c r="E3" s="1">
        <v>0.35</v>
      </c>
      <c r="F3">
        <v>28.95</v>
      </c>
      <c r="G3">
        <v>173.7</v>
      </c>
      <c r="H3">
        <v>39.082500000000003</v>
      </c>
      <c r="I3">
        <f>Table1[[#This Row],[CookiesShipped]]*Table1[[#This Row],[Selling Price]]</f>
        <v>234.495</v>
      </c>
      <c r="J3">
        <v>6</v>
      </c>
      <c r="K3">
        <v>234.495</v>
      </c>
      <c r="L3">
        <v>60.795000000000016</v>
      </c>
      <c r="M3">
        <v>0.2592592592592593</v>
      </c>
      <c r="N3" s="2">
        <v>45147</v>
      </c>
      <c r="O3" s="2" t="str">
        <f>TEXT(Table1[[#This Row],[OrderDate]],"dddd")</f>
        <v>Wednesday</v>
      </c>
      <c r="P3" s="2" t="str">
        <f>IF(AND(Table1[[#This Row],[OrderDate]]&gt;=DATE(2023,7,30),Table1[[#This Row],[OrderDate]]&lt;=DATE(2023,8,5)),"Week 1",
 IF(AND(Table1[[#This Row],[OrderDate]]&gt;=DATE(2023,8,6),Table1[[#This Row],[OrderDate]]&lt;=DATE(2023,8,12)),"Week 2",
 IF(AND(Table1[[#This Row],[OrderDate]]&gt;=DATE(2023,8,13),Table1[[#This Row],[OrderDate]]&lt;=DATE(2023,8,19)),"Week 3",
 IF(AND(Table1[[#This Row],[OrderDate]]&gt;=DATE(2023,8,20),Table1[[#This Row],[OrderDate]]&lt;=DATE(2023,8,26)),"Week 4","Week 5"))))</f>
        <v>Week 2</v>
      </c>
      <c r="Q3" s="2">
        <v>45160</v>
      </c>
      <c r="R3" s="2" t="str">
        <f>TEXT(Table1[[#This Row],[ShipDate]],"dddd")</f>
        <v>Tuesday</v>
      </c>
      <c r="S3" t="s">
        <v>24</v>
      </c>
      <c r="T3">
        <v>13</v>
      </c>
      <c r="U3" t="str">
        <f>IF(Table1[[#This Row],[DateDifference]]&lt;7,"Within Target","Outside Target")</f>
        <v>Outside Target</v>
      </c>
      <c r="V3" t="s">
        <v>26</v>
      </c>
    </row>
    <row r="4" spans="1:22" x14ac:dyDescent="0.3">
      <c r="A4">
        <v>105</v>
      </c>
      <c r="B4">
        <v>2</v>
      </c>
      <c r="C4" t="s">
        <v>27</v>
      </c>
      <c r="D4" t="s">
        <v>28</v>
      </c>
      <c r="E4" s="1">
        <v>0.35</v>
      </c>
      <c r="F4">
        <v>25.13</v>
      </c>
      <c r="G4">
        <v>2362.2199999999998</v>
      </c>
      <c r="H4">
        <v>33.9255</v>
      </c>
      <c r="I4">
        <f>Table1[[#This Row],[CookiesShipped]]*Table1[[#This Row],[Selling Price]]</f>
        <v>3188.9969999999998</v>
      </c>
      <c r="J4">
        <v>94</v>
      </c>
      <c r="K4">
        <v>3188.9969999999998</v>
      </c>
      <c r="L4">
        <v>826.77700000000004</v>
      </c>
      <c r="M4">
        <v>0.2592592592592593</v>
      </c>
      <c r="N4" s="2">
        <v>45162</v>
      </c>
      <c r="O4" s="2" t="str">
        <f>TEXT(Table1[[#This Row],[OrderDate]],"dddd")</f>
        <v>Thursday</v>
      </c>
      <c r="P4" s="2" t="str">
        <f>IF(AND(Table1[[#This Row],[OrderDate]]&gt;=DATE(2023,7,30),Table1[[#This Row],[OrderDate]]&lt;=DATE(2023,8,5)),"Week 1",
 IF(AND(Table1[[#This Row],[OrderDate]]&gt;=DATE(2023,8,6),Table1[[#This Row],[OrderDate]]&lt;=DATE(2023,8,12)),"Week 2",
 IF(AND(Table1[[#This Row],[OrderDate]]&gt;=DATE(2023,8,13),Table1[[#This Row],[OrderDate]]&lt;=DATE(2023,8,19)),"Week 3",
 IF(AND(Table1[[#This Row],[OrderDate]]&gt;=DATE(2023,8,20),Table1[[#This Row],[OrderDate]]&lt;=DATE(2023,8,26)),"Week 4","Week 5"))))</f>
        <v>Week 4</v>
      </c>
      <c r="Q4" s="2">
        <v>45170</v>
      </c>
      <c r="R4" s="2" t="str">
        <f>TEXT(Table1[[#This Row],[ShipDate]],"dddd")</f>
        <v>Friday</v>
      </c>
      <c r="S4" t="s">
        <v>24</v>
      </c>
      <c r="T4">
        <v>8</v>
      </c>
      <c r="U4" t="str">
        <f>IF(Table1[[#This Row],[DateDifference]]&lt;7,"Within Target","Outside Target")</f>
        <v>Outside Target</v>
      </c>
      <c r="V4" t="s">
        <v>29</v>
      </c>
    </row>
    <row r="5" spans="1:22" x14ac:dyDescent="0.3">
      <c r="A5">
        <v>102</v>
      </c>
      <c r="B5">
        <v>5</v>
      </c>
      <c r="C5" t="s">
        <v>30</v>
      </c>
      <c r="D5" t="s">
        <v>31</v>
      </c>
      <c r="E5" s="1">
        <v>0.35</v>
      </c>
      <c r="F5">
        <v>28.03</v>
      </c>
      <c r="G5">
        <v>1906.04</v>
      </c>
      <c r="H5">
        <v>37.840500000000006</v>
      </c>
      <c r="I5">
        <f>Table1[[#This Row],[CookiesShipped]]*Table1[[#This Row],[Selling Price]]</f>
        <v>2573.1540000000005</v>
      </c>
      <c r="J5">
        <v>68</v>
      </c>
      <c r="K5">
        <v>2573.1540000000005</v>
      </c>
      <c r="L5">
        <v>667.11400000000049</v>
      </c>
      <c r="M5">
        <v>0.25925925925925941</v>
      </c>
      <c r="N5" s="2">
        <v>45139</v>
      </c>
      <c r="O5" s="2" t="str">
        <f>TEXT(Table1[[#This Row],[OrderDate]],"dddd")</f>
        <v>Tuesday</v>
      </c>
      <c r="P5" s="2" t="str">
        <f>IF(AND(Table1[[#This Row],[OrderDate]]&gt;=DATE(2023,7,30),Table1[[#This Row],[OrderDate]]&lt;=DATE(2023,8,5)),"Week 1",
 IF(AND(Table1[[#This Row],[OrderDate]]&gt;=DATE(2023,8,6),Table1[[#This Row],[OrderDate]]&lt;=DATE(2023,8,12)),"Week 2",
 IF(AND(Table1[[#This Row],[OrderDate]]&gt;=DATE(2023,8,13),Table1[[#This Row],[OrderDate]]&lt;=DATE(2023,8,19)),"Week 3",
 IF(AND(Table1[[#This Row],[OrderDate]]&gt;=DATE(2023,8,20),Table1[[#This Row],[OrderDate]]&lt;=DATE(2023,8,26)),"Week 4","Week 5"))))</f>
        <v>Week 1</v>
      </c>
      <c r="Q5" s="2">
        <v>45169</v>
      </c>
      <c r="R5" s="2" t="str">
        <f>TEXT(Table1[[#This Row],[ShipDate]],"dddd")</f>
        <v>Thursday</v>
      </c>
      <c r="S5" t="s">
        <v>24</v>
      </c>
      <c r="T5">
        <v>30</v>
      </c>
      <c r="U5" t="str">
        <f>IF(Table1[[#This Row],[DateDifference]]&lt;7,"Within Target","Outside Target")</f>
        <v>Outside Target</v>
      </c>
      <c r="V5" t="s">
        <v>32</v>
      </c>
    </row>
    <row r="6" spans="1:22" x14ac:dyDescent="0.3">
      <c r="A6">
        <v>104</v>
      </c>
      <c r="B6">
        <v>3</v>
      </c>
      <c r="C6" t="s">
        <v>33</v>
      </c>
      <c r="D6" t="s">
        <v>34</v>
      </c>
      <c r="E6" s="1">
        <v>0.35</v>
      </c>
      <c r="F6">
        <v>9.82</v>
      </c>
      <c r="G6">
        <v>942.72</v>
      </c>
      <c r="H6">
        <v>13.257000000000001</v>
      </c>
      <c r="I6">
        <f>Table1[[#This Row],[CookiesShipped]]*Table1[[#This Row],[Selling Price]]</f>
        <v>1272.672</v>
      </c>
      <c r="J6">
        <v>96</v>
      </c>
      <c r="K6">
        <v>1272.672</v>
      </c>
      <c r="L6">
        <v>329.952</v>
      </c>
      <c r="M6">
        <v>0.25925925925925924</v>
      </c>
      <c r="N6" s="2">
        <v>45142</v>
      </c>
      <c r="O6" s="2" t="str">
        <f>TEXT(Table1[[#This Row],[OrderDate]],"dddd")</f>
        <v>Friday</v>
      </c>
      <c r="P6" s="2" t="str">
        <f>IF(AND(Table1[[#This Row],[OrderDate]]&gt;=DATE(2023,7,30),Table1[[#This Row],[OrderDate]]&lt;=DATE(2023,8,5)),"Week 1",
 IF(AND(Table1[[#This Row],[OrderDate]]&gt;=DATE(2023,8,6),Table1[[#This Row],[OrderDate]]&lt;=DATE(2023,8,12)),"Week 2",
 IF(AND(Table1[[#This Row],[OrderDate]]&gt;=DATE(2023,8,13),Table1[[#This Row],[OrderDate]]&lt;=DATE(2023,8,19)),"Week 3",
 IF(AND(Table1[[#This Row],[OrderDate]]&gt;=DATE(2023,8,20),Table1[[#This Row],[OrderDate]]&lt;=DATE(2023,8,26)),"Week 4","Week 5"))))</f>
        <v>Week 1</v>
      </c>
      <c r="Q6" s="2">
        <v>45156</v>
      </c>
      <c r="R6" s="2" t="str">
        <f>TEXT(Table1[[#This Row],[ShipDate]],"dddd")</f>
        <v>Friday</v>
      </c>
      <c r="S6" t="s">
        <v>24</v>
      </c>
      <c r="T6">
        <v>14</v>
      </c>
      <c r="U6" t="str">
        <f>IF(Table1[[#This Row],[DateDifference]]&lt;7,"Within Target","Outside Target")</f>
        <v>Outside Target</v>
      </c>
      <c r="V6" t="s">
        <v>35</v>
      </c>
    </row>
    <row r="7" spans="1:22" x14ac:dyDescent="0.3">
      <c r="A7">
        <v>106</v>
      </c>
      <c r="B7">
        <v>4</v>
      </c>
      <c r="C7" t="s">
        <v>36</v>
      </c>
      <c r="D7" t="s">
        <v>37</v>
      </c>
      <c r="E7" s="1">
        <v>0.35</v>
      </c>
      <c r="F7">
        <v>28.97</v>
      </c>
      <c r="G7">
        <v>1361.59</v>
      </c>
      <c r="H7">
        <v>39.109500000000004</v>
      </c>
      <c r="I7">
        <f>Table1[[#This Row],[CookiesShipped]]*Table1[[#This Row],[Selling Price]]</f>
        <v>1838.1465000000003</v>
      </c>
      <c r="J7">
        <v>47</v>
      </c>
      <c r="K7">
        <v>1838.1465000000003</v>
      </c>
      <c r="L7">
        <v>476.55650000000037</v>
      </c>
      <c r="M7">
        <v>0.25925925925925941</v>
      </c>
      <c r="N7" s="2">
        <v>45146</v>
      </c>
      <c r="O7" s="2" t="str">
        <f>TEXT(Table1[[#This Row],[OrderDate]],"dddd")</f>
        <v>Tuesday</v>
      </c>
      <c r="P7" s="2" t="str">
        <f>IF(AND(Table1[[#This Row],[OrderDate]]&gt;=DATE(2023,7,30),Table1[[#This Row],[OrderDate]]&lt;=DATE(2023,8,5)),"Week 1",
 IF(AND(Table1[[#This Row],[OrderDate]]&gt;=DATE(2023,8,6),Table1[[#This Row],[OrderDate]]&lt;=DATE(2023,8,12)),"Week 2",
 IF(AND(Table1[[#This Row],[OrderDate]]&gt;=DATE(2023,8,13),Table1[[#This Row],[OrderDate]]&lt;=DATE(2023,8,19)),"Week 3",
 IF(AND(Table1[[#This Row],[OrderDate]]&gt;=DATE(2023,8,20),Table1[[#This Row],[OrderDate]]&lt;=DATE(2023,8,26)),"Week 4","Week 5"))))</f>
        <v>Week 2</v>
      </c>
      <c r="Q7" s="2">
        <v>45146</v>
      </c>
      <c r="R7" s="2" t="str">
        <f>TEXT(Table1[[#This Row],[ShipDate]],"dddd")</f>
        <v>Tuesday</v>
      </c>
      <c r="S7" t="s">
        <v>24</v>
      </c>
      <c r="T7">
        <v>0</v>
      </c>
      <c r="U7" t="str">
        <f>IF(Table1[[#This Row],[DateDifference]]&lt;7,"Within Target","Outside Target")</f>
        <v>Within Target</v>
      </c>
      <c r="V7" t="s">
        <v>32</v>
      </c>
    </row>
    <row r="8" spans="1:22" x14ac:dyDescent="0.3">
      <c r="A8">
        <v>108</v>
      </c>
      <c r="B8">
        <v>1</v>
      </c>
      <c r="C8" t="s">
        <v>22</v>
      </c>
      <c r="D8" t="s">
        <v>23</v>
      </c>
      <c r="E8" s="1">
        <v>0.35</v>
      </c>
      <c r="F8">
        <v>17.12</v>
      </c>
      <c r="G8">
        <v>941.6</v>
      </c>
      <c r="H8">
        <v>23.112000000000002</v>
      </c>
      <c r="I8">
        <f>Table1[[#This Row],[CookiesShipped]]*Table1[[#This Row],[Selling Price]]</f>
        <v>1271.1600000000001</v>
      </c>
      <c r="J8">
        <v>55</v>
      </c>
      <c r="K8">
        <v>1271.1600000000001</v>
      </c>
      <c r="L8">
        <v>329.56000000000006</v>
      </c>
      <c r="M8">
        <v>0.2592592592592593</v>
      </c>
      <c r="N8" s="2">
        <v>45144</v>
      </c>
      <c r="O8" s="2" t="str">
        <f>TEXT(Table1[[#This Row],[OrderDate]],"dddd")</f>
        <v>Sunday</v>
      </c>
      <c r="P8" s="2" t="str">
        <f>IF(AND(Table1[[#This Row],[OrderDate]]&gt;=DATE(2023,7,30),Table1[[#This Row],[OrderDate]]&lt;=DATE(2023,8,5)),"Week 1",
 IF(AND(Table1[[#This Row],[OrderDate]]&gt;=DATE(2023,8,6),Table1[[#This Row],[OrderDate]]&lt;=DATE(2023,8,12)),"Week 2",
 IF(AND(Table1[[#This Row],[OrderDate]]&gt;=DATE(2023,8,13),Table1[[#This Row],[OrderDate]]&lt;=DATE(2023,8,19)),"Week 3",
 IF(AND(Table1[[#This Row],[OrderDate]]&gt;=DATE(2023,8,20),Table1[[#This Row],[OrderDate]]&lt;=DATE(2023,8,26)),"Week 4","Week 5"))))</f>
        <v>Week 2</v>
      </c>
      <c r="Q8" s="2">
        <v>45162</v>
      </c>
      <c r="R8" s="2" t="str">
        <f>TEXT(Table1[[#This Row],[ShipDate]],"dddd")</f>
        <v>Thursday</v>
      </c>
      <c r="S8" t="s">
        <v>24</v>
      </c>
      <c r="T8">
        <v>18</v>
      </c>
      <c r="U8" t="str">
        <f>IF(Table1[[#This Row],[DateDifference]]&lt;7,"Within Target","Outside Target")</f>
        <v>Outside Target</v>
      </c>
      <c r="V8" t="s">
        <v>38</v>
      </c>
    </row>
    <row r="9" spans="1:22" x14ac:dyDescent="0.3">
      <c r="A9">
        <v>109</v>
      </c>
      <c r="B9">
        <v>4</v>
      </c>
      <c r="C9" t="s">
        <v>36</v>
      </c>
      <c r="D9" t="s">
        <v>37</v>
      </c>
      <c r="E9" s="1">
        <v>0.35</v>
      </c>
      <c r="F9">
        <v>21.98</v>
      </c>
      <c r="G9">
        <v>879.2</v>
      </c>
      <c r="H9">
        <v>29.672999999999998</v>
      </c>
      <c r="I9">
        <f>Table1[[#This Row],[CookiesShipped]]*Table1[[#This Row],[Selling Price]]</f>
        <v>1186.9199999999998</v>
      </c>
      <c r="J9">
        <v>40</v>
      </c>
      <c r="K9">
        <v>1186.92</v>
      </c>
      <c r="L9">
        <v>307.72000000000003</v>
      </c>
      <c r="M9">
        <v>0.25925925925925924</v>
      </c>
      <c r="N9" s="2">
        <v>45142</v>
      </c>
      <c r="O9" s="2" t="str">
        <f>TEXT(Table1[[#This Row],[OrderDate]],"dddd")</f>
        <v>Friday</v>
      </c>
      <c r="P9" s="2" t="str">
        <f>IF(AND(Table1[[#This Row],[OrderDate]]&gt;=DATE(2023,7,30),Table1[[#This Row],[OrderDate]]&lt;=DATE(2023,8,5)),"Week 1",
 IF(AND(Table1[[#This Row],[OrderDate]]&gt;=DATE(2023,8,6),Table1[[#This Row],[OrderDate]]&lt;=DATE(2023,8,12)),"Week 2",
 IF(AND(Table1[[#This Row],[OrderDate]]&gt;=DATE(2023,8,13),Table1[[#This Row],[OrderDate]]&lt;=DATE(2023,8,19)),"Week 3",
 IF(AND(Table1[[#This Row],[OrderDate]]&gt;=DATE(2023,8,20),Table1[[#This Row],[OrderDate]]&lt;=DATE(2023,8,26)),"Week 4","Week 5"))))</f>
        <v>Week 1</v>
      </c>
      <c r="Q9" s="2">
        <v>45153</v>
      </c>
      <c r="R9" s="2" t="str">
        <f>TEXT(Table1[[#This Row],[ShipDate]],"dddd")</f>
        <v>Tuesday</v>
      </c>
      <c r="S9" t="s">
        <v>24</v>
      </c>
      <c r="T9">
        <v>11</v>
      </c>
      <c r="U9" t="str">
        <f>IF(Table1[[#This Row],[DateDifference]]&lt;7,"Within Target","Outside Target")</f>
        <v>Outside Target</v>
      </c>
      <c r="V9" t="s">
        <v>35</v>
      </c>
    </row>
    <row r="10" spans="1:22" x14ac:dyDescent="0.3">
      <c r="A10">
        <v>110</v>
      </c>
      <c r="B10">
        <v>1</v>
      </c>
      <c r="C10" t="s">
        <v>22</v>
      </c>
      <c r="D10" t="s">
        <v>23</v>
      </c>
      <c r="E10" s="1">
        <v>0.35</v>
      </c>
      <c r="F10">
        <v>5.9</v>
      </c>
      <c r="G10">
        <v>306.8</v>
      </c>
      <c r="H10">
        <v>7.9650000000000007</v>
      </c>
      <c r="I10">
        <f>Table1[[#This Row],[CookiesShipped]]*Table1[[#This Row],[Selling Price]]</f>
        <v>414.18000000000006</v>
      </c>
      <c r="J10">
        <v>52</v>
      </c>
      <c r="K10">
        <v>414.18000000000006</v>
      </c>
      <c r="L10">
        <v>107.38000000000005</v>
      </c>
      <c r="M10">
        <v>0.25925925925925936</v>
      </c>
      <c r="N10" s="2">
        <v>45153</v>
      </c>
      <c r="O10" s="2" t="str">
        <f>TEXT(Table1[[#This Row],[OrderDate]],"dddd")</f>
        <v>Tuesday</v>
      </c>
      <c r="P10" s="2" t="str">
        <f>IF(AND(Table1[[#This Row],[OrderDate]]&gt;=DATE(2023,7,30),Table1[[#This Row],[OrderDate]]&lt;=DATE(2023,8,5)),"Week 1",
 IF(AND(Table1[[#This Row],[OrderDate]]&gt;=DATE(2023,8,6),Table1[[#This Row],[OrderDate]]&lt;=DATE(2023,8,12)),"Week 2",
 IF(AND(Table1[[#This Row],[OrderDate]]&gt;=DATE(2023,8,13),Table1[[#This Row],[OrderDate]]&lt;=DATE(2023,8,19)),"Week 3",
 IF(AND(Table1[[#This Row],[OrderDate]]&gt;=DATE(2023,8,20),Table1[[#This Row],[OrderDate]]&lt;=DATE(2023,8,26)),"Week 4","Week 5"))))</f>
        <v>Week 3</v>
      </c>
      <c r="Q10" s="2">
        <v>45162</v>
      </c>
      <c r="R10" s="2" t="str">
        <f>TEXT(Table1[[#This Row],[ShipDate]],"dddd")</f>
        <v>Thursday</v>
      </c>
      <c r="S10" t="s">
        <v>24</v>
      </c>
      <c r="T10">
        <v>9</v>
      </c>
      <c r="U10" t="str">
        <f>IF(Table1[[#This Row],[DateDifference]]&lt;7,"Within Target","Outside Target")</f>
        <v>Outside Target</v>
      </c>
      <c r="V10" t="s">
        <v>32</v>
      </c>
    </row>
    <row r="11" spans="1:22" x14ac:dyDescent="0.3">
      <c r="A11">
        <v>112</v>
      </c>
      <c r="B11">
        <v>2</v>
      </c>
      <c r="C11" t="s">
        <v>27</v>
      </c>
      <c r="D11" t="s">
        <v>28</v>
      </c>
      <c r="E11" s="1">
        <v>0.35</v>
      </c>
      <c r="F11">
        <v>14.52</v>
      </c>
      <c r="G11">
        <v>188.76</v>
      </c>
      <c r="H11">
        <v>19.602</v>
      </c>
      <c r="I11">
        <f>Table1[[#This Row],[CookiesShipped]]*Table1[[#This Row],[Selling Price]]</f>
        <v>254.82599999999999</v>
      </c>
      <c r="J11">
        <v>13</v>
      </c>
      <c r="K11">
        <v>254.82599999999999</v>
      </c>
      <c r="L11">
        <v>66.066000000000003</v>
      </c>
      <c r="M11">
        <v>0.2592592592592593</v>
      </c>
      <c r="N11" s="2">
        <v>45142</v>
      </c>
      <c r="O11" s="2" t="str">
        <f>TEXT(Table1[[#This Row],[OrderDate]],"dddd")</f>
        <v>Friday</v>
      </c>
      <c r="P11" s="2" t="str">
        <f>IF(AND(Table1[[#This Row],[OrderDate]]&gt;=DATE(2023,7,30),Table1[[#This Row],[OrderDate]]&lt;=DATE(2023,8,5)),"Week 1",
 IF(AND(Table1[[#This Row],[OrderDate]]&gt;=DATE(2023,8,6),Table1[[#This Row],[OrderDate]]&lt;=DATE(2023,8,12)),"Week 2",
 IF(AND(Table1[[#This Row],[OrderDate]]&gt;=DATE(2023,8,13),Table1[[#This Row],[OrderDate]]&lt;=DATE(2023,8,19)),"Week 3",
 IF(AND(Table1[[#This Row],[OrderDate]]&gt;=DATE(2023,8,20),Table1[[#This Row],[OrderDate]]&lt;=DATE(2023,8,26)),"Week 4","Week 5"))))</f>
        <v>Week 1</v>
      </c>
      <c r="Q11" s="2">
        <v>45157</v>
      </c>
      <c r="R11" s="2" t="str">
        <f>TEXT(Table1[[#This Row],[ShipDate]],"dddd")</f>
        <v>Saturday</v>
      </c>
      <c r="S11" t="s">
        <v>24</v>
      </c>
      <c r="T11">
        <v>15</v>
      </c>
      <c r="U11" t="str">
        <f>IF(Table1[[#This Row],[DateDifference]]&lt;7,"Within Target","Outside Target")</f>
        <v>Outside Target</v>
      </c>
      <c r="V11" t="s">
        <v>35</v>
      </c>
    </row>
    <row r="12" spans="1:22" x14ac:dyDescent="0.3">
      <c r="A12">
        <v>113</v>
      </c>
      <c r="B12">
        <v>4</v>
      </c>
      <c r="C12" t="s">
        <v>36</v>
      </c>
      <c r="D12" t="s">
        <v>37</v>
      </c>
      <c r="E12" s="1">
        <v>0.35</v>
      </c>
      <c r="F12">
        <v>19.739999999999998</v>
      </c>
      <c r="G12">
        <v>592.19999999999993</v>
      </c>
      <c r="H12">
        <v>26.649000000000001</v>
      </c>
      <c r="I12">
        <f>Table1[[#This Row],[CookiesShipped]]*Table1[[#This Row],[Selling Price]]</f>
        <v>799.47</v>
      </c>
      <c r="J12">
        <v>30</v>
      </c>
      <c r="K12">
        <v>799.47</v>
      </c>
      <c r="L12">
        <v>207.2700000000001</v>
      </c>
      <c r="M12">
        <v>0.25925925925925936</v>
      </c>
      <c r="N12" s="2">
        <v>45152</v>
      </c>
      <c r="O12" s="2" t="str">
        <f>TEXT(Table1[[#This Row],[OrderDate]],"dddd")</f>
        <v>Monday</v>
      </c>
      <c r="P12" s="2" t="str">
        <f>IF(AND(Table1[[#This Row],[OrderDate]]&gt;=DATE(2023,7,30),Table1[[#This Row],[OrderDate]]&lt;=DATE(2023,8,5)),"Week 1",
 IF(AND(Table1[[#This Row],[OrderDate]]&gt;=DATE(2023,8,6),Table1[[#This Row],[OrderDate]]&lt;=DATE(2023,8,12)),"Week 2",
 IF(AND(Table1[[#This Row],[OrderDate]]&gt;=DATE(2023,8,13),Table1[[#This Row],[OrderDate]]&lt;=DATE(2023,8,19)),"Week 3",
 IF(AND(Table1[[#This Row],[OrderDate]]&gt;=DATE(2023,8,20),Table1[[#This Row],[OrderDate]]&lt;=DATE(2023,8,26)),"Week 4","Week 5"))))</f>
        <v>Week 3</v>
      </c>
      <c r="Q12" s="2">
        <v>45166</v>
      </c>
      <c r="R12" s="2" t="str">
        <f>TEXT(Table1[[#This Row],[ShipDate]],"dddd")</f>
        <v>Monday</v>
      </c>
      <c r="S12" t="s">
        <v>24</v>
      </c>
      <c r="T12">
        <v>14</v>
      </c>
      <c r="U12" t="str">
        <f>IF(Table1[[#This Row],[DateDifference]]&lt;7,"Within Target","Outside Target")</f>
        <v>Outside Target</v>
      </c>
      <c r="V12" t="s">
        <v>39</v>
      </c>
    </row>
    <row r="13" spans="1:22" x14ac:dyDescent="0.3">
      <c r="A13">
        <v>115</v>
      </c>
      <c r="B13">
        <v>2</v>
      </c>
      <c r="C13" t="s">
        <v>27</v>
      </c>
      <c r="D13" t="s">
        <v>28</v>
      </c>
      <c r="E13" s="1">
        <v>0.35</v>
      </c>
      <c r="F13">
        <v>45.07</v>
      </c>
      <c r="G13">
        <v>766.19</v>
      </c>
      <c r="H13">
        <v>60.844500000000004</v>
      </c>
      <c r="I13">
        <f>Table1[[#This Row],[CookiesShipped]]*Table1[[#This Row],[Selling Price]]</f>
        <v>1034.3565000000001</v>
      </c>
      <c r="J13">
        <v>17</v>
      </c>
      <c r="K13">
        <v>1034.3565000000001</v>
      </c>
      <c r="L13">
        <v>268.16650000000004</v>
      </c>
      <c r="M13">
        <v>0.2592592592592593</v>
      </c>
      <c r="N13" s="2">
        <v>45141</v>
      </c>
      <c r="O13" s="2" t="str">
        <f>TEXT(Table1[[#This Row],[OrderDate]],"dddd")</f>
        <v>Thursday</v>
      </c>
      <c r="P13" s="2" t="str">
        <f>IF(AND(Table1[[#This Row],[OrderDate]]&gt;=DATE(2023,7,30),Table1[[#This Row],[OrderDate]]&lt;=DATE(2023,8,5)),"Week 1",
 IF(AND(Table1[[#This Row],[OrderDate]]&gt;=DATE(2023,8,6),Table1[[#This Row],[OrderDate]]&lt;=DATE(2023,8,12)),"Week 2",
 IF(AND(Table1[[#This Row],[OrderDate]]&gt;=DATE(2023,8,13),Table1[[#This Row],[OrderDate]]&lt;=DATE(2023,8,19)),"Week 3",
 IF(AND(Table1[[#This Row],[OrderDate]]&gt;=DATE(2023,8,20),Table1[[#This Row],[OrderDate]]&lt;=DATE(2023,8,26)),"Week 4","Week 5"))))</f>
        <v>Week 1</v>
      </c>
      <c r="Q13" s="2">
        <v>45165</v>
      </c>
      <c r="R13" s="2" t="str">
        <f>TEXT(Table1[[#This Row],[ShipDate]],"dddd")</f>
        <v>Sunday</v>
      </c>
      <c r="S13" t="s">
        <v>24</v>
      </c>
      <c r="T13">
        <v>24</v>
      </c>
      <c r="U13" t="str">
        <f>IF(Table1[[#This Row],[DateDifference]]&lt;7,"Within Target","Outside Target")</f>
        <v>Outside Target</v>
      </c>
      <c r="V13" t="s">
        <v>29</v>
      </c>
    </row>
    <row r="14" spans="1:22" x14ac:dyDescent="0.3">
      <c r="A14">
        <v>116</v>
      </c>
      <c r="B14">
        <v>3</v>
      </c>
      <c r="C14" t="s">
        <v>33</v>
      </c>
      <c r="D14" t="s">
        <v>34</v>
      </c>
      <c r="E14" s="1">
        <v>0.35</v>
      </c>
      <c r="F14">
        <v>31.71</v>
      </c>
      <c r="G14">
        <v>1997.73</v>
      </c>
      <c r="H14">
        <v>42.808500000000002</v>
      </c>
      <c r="I14">
        <f>Table1[[#This Row],[CookiesShipped]]*Table1[[#This Row],[Selling Price]]</f>
        <v>2696.9355</v>
      </c>
      <c r="J14">
        <v>63</v>
      </c>
      <c r="K14">
        <v>2696.9355</v>
      </c>
      <c r="L14">
        <v>699.20550000000003</v>
      </c>
      <c r="M14">
        <v>0.25925925925925924</v>
      </c>
      <c r="N14" s="2">
        <v>45146</v>
      </c>
      <c r="O14" s="2" t="str">
        <f>TEXT(Table1[[#This Row],[OrderDate]],"dddd")</f>
        <v>Tuesday</v>
      </c>
      <c r="P14" s="2" t="str">
        <f>IF(AND(Table1[[#This Row],[OrderDate]]&gt;=DATE(2023,7,30),Table1[[#This Row],[OrderDate]]&lt;=DATE(2023,8,5)),"Week 1",
 IF(AND(Table1[[#This Row],[OrderDate]]&gt;=DATE(2023,8,6),Table1[[#This Row],[OrderDate]]&lt;=DATE(2023,8,12)),"Week 2",
 IF(AND(Table1[[#This Row],[OrderDate]]&gt;=DATE(2023,8,13),Table1[[#This Row],[OrderDate]]&lt;=DATE(2023,8,19)),"Week 3",
 IF(AND(Table1[[#This Row],[OrderDate]]&gt;=DATE(2023,8,20),Table1[[#This Row],[OrderDate]]&lt;=DATE(2023,8,26)),"Week 4","Week 5"))))</f>
        <v>Week 2</v>
      </c>
      <c r="Q14" s="2">
        <v>45158</v>
      </c>
      <c r="R14" s="2" t="str">
        <f>TEXT(Table1[[#This Row],[ShipDate]],"dddd")</f>
        <v>Sunday</v>
      </c>
      <c r="S14" t="s">
        <v>24</v>
      </c>
      <c r="T14">
        <v>12</v>
      </c>
      <c r="U14" t="str">
        <f>IF(Table1[[#This Row],[DateDifference]]&lt;7,"Within Target","Outside Target")</f>
        <v>Outside Target</v>
      </c>
      <c r="V14" t="s">
        <v>32</v>
      </c>
    </row>
    <row r="15" spans="1:22" x14ac:dyDescent="0.3">
      <c r="A15">
        <v>117</v>
      </c>
      <c r="B15">
        <v>1</v>
      </c>
      <c r="C15" t="s">
        <v>22</v>
      </c>
      <c r="D15" t="s">
        <v>23</v>
      </c>
      <c r="E15" s="1">
        <v>0.35</v>
      </c>
      <c r="F15">
        <v>35.56</v>
      </c>
      <c r="G15">
        <v>675.6400000000001</v>
      </c>
      <c r="H15">
        <v>48.006000000000007</v>
      </c>
      <c r="I15">
        <f>Table1[[#This Row],[CookiesShipped]]*Table1[[#This Row],[Selling Price]]</f>
        <v>912.11400000000015</v>
      </c>
      <c r="J15">
        <v>19</v>
      </c>
      <c r="K15">
        <v>912.11400000000015</v>
      </c>
      <c r="L15">
        <v>236.47400000000005</v>
      </c>
      <c r="M15">
        <v>0.25925925925925924</v>
      </c>
      <c r="N15" s="2">
        <v>45156</v>
      </c>
      <c r="O15" s="2" t="str">
        <f>TEXT(Table1[[#This Row],[OrderDate]],"dddd")</f>
        <v>Friday</v>
      </c>
      <c r="P15" s="2" t="str">
        <f>IF(AND(Table1[[#This Row],[OrderDate]]&gt;=DATE(2023,7,30),Table1[[#This Row],[OrderDate]]&lt;=DATE(2023,8,5)),"Week 1",
 IF(AND(Table1[[#This Row],[OrderDate]]&gt;=DATE(2023,8,6),Table1[[#This Row],[OrderDate]]&lt;=DATE(2023,8,12)),"Week 2",
 IF(AND(Table1[[#This Row],[OrderDate]]&gt;=DATE(2023,8,13),Table1[[#This Row],[OrderDate]]&lt;=DATE(2023,8,19)),"Week 3",
 IF(AND(Table1[[#This Row],[OrderDate]]&gt;=DATE(2023,8,20),Table1[[#This Row],[OrderDate]]&lt;=DATE(2023,8,26)),"Week 4","Week 5"))))</f>
        <v>Week 3</v>
      </c>
      <c r="Q15" s="2">
        <v>45158</v>
      </c>
      <c r="R15" s="2" t="str">
        <f>TEXT(Table1[[#This Row],[ShipDate]],"dddd")</f>
        <v>Sunday</v>
      </c>
      <c r="S15" t="s">
        <v>24</v>
      </c>
      <c r="T15">
        <v>2</v>
      </c>
      <c r="U15" t="str">
        <f>IF(Table1[[#This Row],[DateDifference]]&lt;7,"Within Target","Outside Target")</f>
        <v>Within Target</v>
      </c>
      <c r="V15" t="s">
        <v>35</v>
      </c>
    </row>
    <row r="16" spans="1:22" x14ac:dyDescent="0.3">
      <c r="A16">
        <v>119</v>
      </c>
      <c r="B16">
        <v>1</v>
      </c>
      <c r="C16" t="s">
        <v>22</v>
      </c>
      <c r="D16" t="s">
        <v>23</v>
      </c>
      <c r="E16" s="1">
        <v>0.35</v>
      </c>
      <c r="F16">
        <v>27.43</v>
      </c>
      <c r="G16">
        <v>1590.94</v>
      </c>
      <c r="H16">
        <v>37.030500000000004</v>
      </c>
      <c r="I16">
        <f>Table1[[#This Row],[CookiesShipped]]*Table1[[#This Row],[Selling Price]]</f>
        <v>2147.7690000000002</v>
      </c>
      <c r="J16">
        <v>58</v>
      </c>
      <c r="K16">
        <v>2147.7690000000002</v>
      </c>
      <c r="L16">
        <v>556.82900000000018</v>
      </c>
      <c r="M16">
        <v>0.2592592592592593</v>
      </c>
      <c r="N16" s="2">
        <v>45158</v>
      </c>
      <c r="O16" s="2" t="str">
        <f>TEXT(Table1[[#This Row],[OrderDate]],"dddd")</f>
        <v>Sunday</v>
      </c>
      <c r="P16" s="2" t="str">
        <f>IF(AND(Table1[[#This Row],[OrderDate]]&gt;=DATE(2023,7,30),Table1[[#This Row],[OrderDate]]&lt;=DATE(2023,8,5)),"Week 1",
 IF(AND(Table1[[#This Row],[OrderDate]]&gt;=DATE(2023,8,6),Table1[[#This Row],[OrderDate]]&lt;=DATE(2023,8,12)),"Week 2",
 IF(AND(Table1[[#This Row],[OrderDate]]&gt;=DATE(2023,8,13),Table1[[#This Row],[OrderDate]]&lt;=DATE(2023,8,19)),"Week 3",
 IF(AND(Table1[[#This Row],[OrderDate]]&gt;=DATE(2023,8,20),Table1[[#This Row],[OrderDate]]&lt;=DATE(2023,8,26)),"Week 4","Week 5"))))</f>
        <v>Week 4</v>
      </c>
      <c r="Q16" s="2">
        <v>45159</v>
      </c>
      <c r="R16" s="2" t="str">
        <f>TEXT(Table1[[#This Row],[ShipDate]],"dddd")</f>
        <v>Monday</v>
      </c>
      <c r="S16" t="s">
        <v>24</v>
      </c>
      <c r="T16">
        <v>1</v>
      </c>
      <c r="U16" t="str">
        <f>IF(Table1[[#This Row],[DateDifference]]&lt;7,"Within Target","Outside Target")</f>
        <v>Within Target</v>
      </c>
      <c r="V16" t="s">
        <v>38</v>
      </c>
    </row>
    <row r="17" spans="1:22" x14ac:dyDescent="0.3">
      <c r="A17">
        <v>121</v>
      </c>
      <c r="B17">
        <v>3</v>
      </c>
      <c r="C17" t="s">
        <v>33</v>
      </c>
      <c r="D17" t="s">
        <v>34</v>
      </c>
      <c r="E17" s="1">
        <v>0.35</v>
      </c>
      <c r="F17">
        <v>29.17</v>
      </c>
      <c r="G17">
        <v>2625.3</v>
      </c>
      <c r="H17">
        <v>39.379500000000007</v>
      </c>
      <c r="I17">
        <f>Table1[[#This Row],[CookiesShipped]]*Table1[[#This Row],[Selling Price]]</f>
        <v>3544.1550000000007</v>
      </c>
      <c r="J17">
        <v>90</v>
      </c>
      <c r="K17">
        <v>3544.1550000000007</v>
      </c>
      <c r="L17">
        <v>918.85500000000047</v>
      </c>
      <c r="M17">
        <v>0.25925925925925936</v>
      </c>
      <c r="N17" s="2">
        <v>45153</v>
      </c>
      <c r="O17" s="2" t="str">
        <f>TEXT(Table1[[#This Row],[OrderDate]],"dddd")</f>
        <v>Tuesday</v>
      </c>
      <c r="P17" s="2" t="str">
        <f>IF(AND(Table1[[#This Row],[OrderDate]]&gt;=DATE(2023,7,30),Table1[[#This Row],[OrderDate]]&lt;=DATE(2023,8,5)),"Week 1",
 IF(AND(Table1[[#This Row],[OrderDate]]&gt;=DATE(2023,8,6),Table1[[#This Row],[OrderDate]]&lt;=DATE(2023,8,12)),"Week 2",
 IF(AND(Table1[[#This Row],[OrderDate]]&gt;=DATE(2023,8,13),Table1[[#This Row],[OrderDate]]&lt;=DATE(2023,8,19)),"Week 3",
 IF(AND(Table1[[#This Row],[OrderDate]]&gt;=DATE(2023,8,20),Table1[[#This Row],[OrderDate]]&lt;=DATE(2023,8,26)),"Week 4","Week 5"))))</f>
        <v>Week 3</v>
      </c>
      <c r="Q17" s="2">
        <v>45158</v>
      </c>
      <c r="R17" s="2" t="str">
        <f>TEXT(Table1[[#This Row],[ShipDate]],"dddd")</f>
        <v>Sunday</v>
      </c>
      <c r="S17" t="s">
        <v>24</v>
      </c>
      <c r="T17">
        <v>5</v>
      </c>
      <c r="U17" t="str">
        <f>IF(Table1[[#This Row],[DateDifference]]&lt;7,"Within Target","Outside Target")</f>
        <v>Within Target</v>
      </c>
      <c r="V17" t="s">
        <v>32</v>
      </c>
    </row>
    <row r="18" spans="1:22" x14ac:dyDescent="0.3">
      <c r="A18">
        <v>125</v>
      </c>
      <c r="B18">
        <v>4</v>
      </c>
      <c r="C18" t="s">
        <v>36</v>
      </c>
      <c r="D18" t="s">
        <v>37</v>
      </c>
      <c r="E18" s="1">
        <v>0.35</v>
      </c>
      <c r="F18">
        <v>10.74</v>
      </c>
      <c r="G18">
        <v>96.66</v>
      </c>
      <c r="H18">
        <v>14.499000000000001</v>
      </c>
      <c r="I18">
        <f>Table1[[#This Row],[CookiesShipped]]*Table1[[#This Row],[Selling Price]]</f>
        <v>130.49100000000001</v>
      </c>
      <c r="J18">
        <v>9</v>
      </c>
      <c r="K18">
        <v>130.49100000000001</v>
      </c>
      <c r="L18">
        <v>33.831000000000017</v>
      </c>
      <c r="M18">
        <v>0.25925925925925936</v>
      </c>
      <c r="N18" s="2">
        <v>45139</v>
      </c>
      <c r="O18" s="2" t="str">
        <f>TEXT(Table1[[#This Row],[OrderDate]],"dddd")</f>
        <v>Tuesday</v>
      </c>
      <c r="P18" s="2" t="str">
        <f>IF(AND(Table1[[#This Row],[OrderDate]]&gt;=DATE(2023,7,30),Table1[[#This Row],[OrderDate]]&lt;=DATE(2023,8,5)),"Week 1",
 IF(AND(Table1[[#This Row],[OrderDate]]&gt;=DATE(2023,8,6),Table1[[#This Row],[OrderDate]]&lt;=DATE(2023,8,12)),"Week 2",
 IF(AND(Table1[[#This Row],[OrderDate]]&gt;=DATE(2023,8,13),Table1[[#This Row],[OrderDate]]&lt;=DATE(2023,8,19)),"Week 3",
 IF(AND(Table1[[#This Row],[OrderDate]]&gt;=DATE(2023,8,20),Table1[[#This Row],[OrderDate]]&lt;=DATE(2023,8,26)),"Week 4","Week 5"))))</f>
        <v>Week 1</v>
      </c>
      <c r="Q18" s="2">
        <v>45143</v>
      </c>
      <c r="R18" s="2" t="str">
        <f>TEXT(Table1[[#This Row],[ShipDate]],"dddd")</f>
        <v>Saturday</v>
      </c>
      <c r="S18" t="s">
        <v>24</v>
      </c>
      <c r="T18">
        <v>4</v>
      </c>
      <c r="U18" t="str">
        <f>IF(Table1[[#This Row],[DateDifference]]&lt;7,"Within Target","Outside Target")</f>
        <v>Within Target</v>
      </c>
      <c r="V18" t="s">
        <v>32</v>
      </c>
    </row>
    <row r="19" spans="1:22" x14ac:dyDescent="0.3">
      <c r="A19">
        <v>127</v>
      </c>
      <c r="B19">
        <v>1</v>
      </c>
      <c r="C19" t="s">
        <v>22</v>
      </c>
      <c r="D19" t="s">
        <v>23</v>
      </c>
      <c r="E19" s="1">
        <v>0.35</v>
      </c>
      <c r="F19">
        <v>21.34</v>
      </c>
      <c r="G19">
        <v>21.34</v>
      </c>
      <c r="H19">
        <v>28.809000000000001</v>
      </c>
      <c r="I19">
        <f>Table1[[#This Row],[CookiesShipped]]*Table1[[#This Row],[Selling Price]]</f>
        <v>28.809000000000001</v>
      </c>
      <c r="J19">
        <v>1</v>
      </c>
      <c r="K19">
        <v>28.809000000000001</v>
      </c>
      <c r="L19">
        <v>7.4690000000000012</v>
      </c>
      <c r="M19">
        <v>0.2592592592592593</v>
      </c>
      <c r="N19" s="2">
        <v>45149</v>
      </c>
      <c r="O19" s="2" t="str">
        <f>TEXT(Table1[[#This Row],[OrderDate]],"dddd")</f>
        <v>Friday</v>
      </c>
      <c r="P19" s="2" t="str">
        <f>IF(AND(Table1[[#This Row],[OrderDate]]&gt;=DATE(2023,7,30),Table1[[#This Row],[OrderDate]]&lt;=DATE(2023,8,5)),"Week 1",
 IF(AND(Table1[[#This Row],[OrderDate]]&gt;=DATE(2023,8,6),Table1[[#This Row],[OrderDate]]&lt;=DATE(2023,8,12)),"Week 2",
 IF(AND(Table1[[#This Row],[OrderDate]]&gt;=DATE(2023,8,13),Table1[[#This Row],[OrderDate]]&lt;=DATE(2023,8,19)),"Week 3",
 IF(AND(Table1[[#This Row],[OrderDate]]&gt;=DATE(2023,8,20),Table1[[#This Row],[OrderDate]]&lt;=DATE(2023,8,26)),"Week 4","Week 5"))))</f>
        <v>Week 2</v>
      </c>
      <c r="Q19" s="2">
        <v>45164</v>
      </c>
      <c r="R19" s="2" t="str">
        <f>TEXT(Table1[[#This Row],[ShipDate]],"dddd")</f>
        <v>Saturday</v>
      </c>
      <c r="S19" t="s">
        <v>24</v>
      </c>
      <c r="T19">
        <v>15</v>
      </c>
      <c r="U19" t="str">
        <f>IF(Table1[[#This Row],[DateDifference]]&lt;7,"Within Target","Outside Target")</f>
        <v>Outside Target</v>
      </c>
      <c r="V19" t="s">
        <v>35</v>
      </c>
    </row>
    <row r="20" spans="1:22" x14ac:dyDescent="0.3">
      <c r="A20">
        <v>128</v>
      </c>
      <c r="B20">
        <v>1</v>
      </c>
      <c r="C20" t="s">
        <v>22</v>
      </c>
      <c r="D20" t="s">
        <v>23</v>
      </c>
      <c r="E20" s="1">
        <v>0.35</v>
      </c>
      <c r="F20">
        <v>34.07</v>
      </c>
      <c r="G20">
        <v>1976.06</v>
      </c>
      <c r="H20">
        <v>45.994500000000002</v>
      </c>
      <c r="I20">
        <f>Table1[[#This Row],[CookiesShipped]]*Table1[[#This Row],[Selling Price]]</f>
        <v>2667.681</v>
      </c>
      <c r="J20">
        <v>58</v>
      </c>
      <c r="K20">
        <v>2667.681</v>
      </c>
      <c r="L20">
        <v>691.62100000000009</v>
      </c>
      <c r="M20">
        <v>0.2592592592592593</v>
      </c>
      <c r="N20" s="2">
        <v>45144</v>
      </c>
      <c r="O20" s="2" t="str">
        <f>TEXT(Table1[[#This Row],[OrderDate]],"dddd")</f>
        <v>Sunday</v>
      </c>
      <c r="P20" s="2" t="str">
        <f>IF(AND(Table1[[#This Row],[OrderDate]]&gt;=DATE(2023,7,30),Table1[[#This Row],[OrderDate]]&lt;=DATE(2023,8,5)),"Week 1",
 IF(AND(Table1[[#This Row],[OrderDate]]&gt;=DATE(2023,8,6),Table1[[#This Row],[OrderDate]]&lt;=DATE(2023,8,12)),"Week 2",
 IF(AND(Table1[[#This Row],[OrderDate]]&gt;=DATE(2023,8,13),Table1[[#This Row],[OrderDate]]&lt;=DATE(2023,8,19)),"Week 3",
 IF(AND(Table1[[#This Row],[OrderDate]]&gt;=DATE(2023,8,20),Table1[[#This Row],[OrderDate]]&lt;=DATE(2023,8,26)),"Week 4","Week 5"))))</f>
        <v>Week 2</v>
      </c>
      <c r="Q20" s="2">
        <v>45164</v>
      </c>
      <c r="R20" s="2" t="str">
        <f>TEXT(Table1[[#This Row],[ShipDate]],"dddd")</f>
        <v>Saturday</v>
      </c>
      <c r="S20" t="s">
        <v>24</v>
      </c>
      <c r="T20">
        <v>20</v>
      </c>
      <c r="U20" t="str">
        <f>IF(Table1[[#This Row],[DateDifference]]&lt;7,"Within Target","Outside Target")</f>
        <v>Outside Target</v>
      </c>
      <c r="V20" t="s">
        <v>38</v>
      </c>
    </row>
    <row r="21" spans="1:22" x14ac:dyDescent="0.3">
      <c r="A21">
        <v>129</v>
      </c>
      <c r="B21">
        <v>3</v>
      </c>
      <c r="C21" t="s">
        <v>33</v>
      </c>
      <c r="D21" t="s">
        <v>34</v>
      </c>
      <c r="E21" s="1">
        <v>0.35</v>
      </c>
      <c r="F21">
        <v>30.69</v>
      </c>
      <c r="G21">
        <v>30.69</v>
      </c>
      <c r="H21">
        <v>41.431500000000007</v>
      </c>
      <c r="I21">
        <f>Table1[[#This Row],[CookiesShipped]]*Table1[[#This Row],[Selling Price]]</f>
        <v>41.431500000000007</v>
      </c>
      <c r="J21">
        <v>1</v>
      </c>
      <c r="K21">
        <v>41.431500000000007</v>
      </c>
      <c r="L21">
        <v>10.741500000000006</v>
      </c>
      <c r="M21">
        <v>0.25925925925925936</v>
      </c>
      <c r="N21" s="2">
        <v>45150</v>
      </c>
      <c r="O21" s="2" t="str">
        <f>TEXT(Table1[[#This Row],[OrderDate]],"dddd")</f>
        <v>Saturday</v>
      </c>
      <c r="P21" s="2" t="str">
        <f>IF(AND(Table1[[#This Row],[OrderDate]]&gt;=DATE(2023,7,30),Table1[[#This Row],[OrderDate]]&lt;=DATE(2023,8,5)),"Week 1",
 IF(AND(Table1[[#This Row],[OrderDate]]&gt;=DATE(2023,8,6),Table1[[#This Row],[OrderDate]]&lt;=DATE(2023,8,12)),"Week 2",
 IF(AND(Table1[[#This Row],[OrderDate]]&gt;=DATE(2023,8,13),Table1[[#This Row],[OrderDate]]&lt;=DATE(2023,8,19)),"Week 3",
 IF(AND(Table1[[#This Row],[OrderDate]]&gt;=DATE(2023,8,20),Table1[[#This Row],[OrderDate]]&lt;=DATE(2023,8,26)),"Week 4","Week 5"))))</f>
        <v>Week 2</v>
      </c>
      <c r="Q21" s="2">
        <v>45161</v>
      </c>
      <c r="R21" s="2" t="str">
        <f>TEXT(Table1[[#This Row],[ShipDate]],"dddd")</f>
        <v>Wednesday</v>
      </c>
      <c r="S21" t="s">
        <v>24</v>
      </c>
      <c r="T21">
        <v>11</v>
      </c>
      <c r="U21" t="str">
        <f>IF(Table1[[#This Row],[DateDifference]]&lt;7,"Within Target","Outside Target")</f>
        <v>Outside Target</v>
      </c>
      <c r="V21" t="s">
        <v>25</v>
      </c>
    </row>
    <row r="22" spans="1:22" x14ac:dyDescent="0.3">
      <c r="A22">
        <v>133</v>
      </c>
      <c r="B22">
        <v>2</v>
      </c>
      <c r="C22" t="s">
        <v>27</v>
      </c>
      <c r="D22" t="s">
        <v>28</v>
      </c>
      <c r="E22" s="1">
        <v>0.35</v>
      </c>
      <c r="F22">
        <v>15.68</v>
      </c>
      <c r="G22">
        <v>1395.52</v>
      </c>
      <c r="H22">
        <v>21.167999999999999</v>
      </c>
      <c r="I22">
        <f>Table1[[#This Row],[CookiesShipped]]*Table1[[#This Row],[Selling Price]]</f>
        <v>1883.952</v>
      </c>
      <c r="J22">
        <v>89</v>
      </c>
      <c r="K22">
        <v>1883.952</v>
      </c>
      <c r="L22">
        <v>488.43200000000002</v>
      </c>
      <c r="M22">
        <v>0.25925925925925924</v>
      </c>
      <c r="N22" s="2">
        <v>45145</v>
      </c>
      <c r="O22" s="2" t="str">
        <f>TEXT(Table1[[#This Row],[OrderDate]],"dddd")</f>
        <v>Monday</v>
      </c>
      <c r="P22" s="2" t="str">
        <f>IF(AND(Table1[[#This Row],[OrderDate]]&gt;=DATE(2023,7,30),Table1[[#This Row],[OrderDate]]&lt;=DATE(2023,8,5)),"Week 1",
 IF(AND(Table1[[#This Row],[OrderDate]]&gt;=DATE(2023,8,6),Table1[[#This Row],[OrderDate]]&lt;=DATE(2023,8,12)),"Week 2",
 IF(AND(Table1[[#This Row],[OrderDate]]&gt;=DATE(2023,8,13),Table1[[#This Row],[OrderDate]]&lt;=DATE(2023,8,19)),"Week 3",
 IF(AND(Table1[[#This Row],[OrderDate]]&gt;=DATE(2023,8,20),Table1[[#This Row],[OrderDate]]&lt;=DATE(2023,8,26)),"Week 4","Week 5"))))</f>
        <v>Week 2</v>
      </c>
      <c r="Q22" s="2">
        <v>45146</v>
      </c>
      <c r="R22" s="2" t="str">
        <f>TEXT(Table1[[#This Row],[ShipDate]],"dddd")</f>
        <v>Tuesday</v>
      </c>
      <c r="S22" t="s">
        <v>24</v>
      </c>
      <c r="T22">
        <v>1</v>
      </c>
      <c r="U22" t="str">
        <f>IF(Table1[[#This Row],[DateDifference]]&lt;7,"Within Target","Outside Target")</f>
        <v>Within Target</v>
      </c>
      <c r="V22" t="s">
        <v>39</v>
      </c>
    </row>
    <row r="23" spans="1:22" x14ac:dyDescent="0.3">
      <c r="A23">
        <v>134</v>
      </c>
      <c r="B23">
        <v>4</v>
      </c>
      <c r="C23" t="s">
        <v>36</v>
      </c>
      <c r="D23" t="s">
        <v>37</v>
      </c>
      <c r="E23" s="1">
        <v>0.35</v>
      </c>
      <c r="F23">
        <v>9.58</v>
      </c>
      <c r="G23">
        <v>9.58</v>
      </c>
      <c r="H23">
        <v>12.933000000000002</v>
      </c>
      <c r="I23">
        <f>Table1[[#This Row],[CookiesShipped]]*Table1[[#This Row],[Selling Price]]</f>
        <v>12.933000000000002</v>
      </c>
      <c r="J23">
        <v>1</v>
      </c>
      <c r="K23">
        <v>12.933000000000002</v>
      </c>
      <c r="L23">
        <v>3.3530000000000015</v>
      </c>
      <c r="M23">
        <v>0.25925925925925936</v>
      </c>
      <c r="N23" s="2">
        <v>45146</v>
      </c>
      <c r="O23" s="2" t="str">
        <f>TEXT(Table1[[#This Row],[OrderDate]],"dddd")</f>
        <v>Tuesday</v>
      </c>
      <c r="P23" s="2" t="str">
        <f>IF(AND(Table1[[#This Row],[OrderDate]]&gt;=DATE(2023,7,30),Table1[[#This Row],[OrderDate]]&lt;=DATE(2023,8,5)),"Week 1",
 IF(AND(Table1[[#This Row],[OrderDate]]&gt;=DATE(2023,8,6),Table1[[#This Row],[OrderDate]]&lt;=DATE(2023,8,12)),"Week 2",
 IF(AND(Table1[[#This Row],[OrderDate]]&gt;=DATE(2023,8,13),Table1[[#This Row],[OrderDate]]&lt;=DATE(2023,8,19)),"Week 3",
 IF(AND(Table1[[#This Row],[OrderDate]]&gt;=DATE(2023,8,20),Table1[[#This Row],[OrderDate]]&lt;=DATE(2023,8,26)),"Week 4","Week 5"))))</f>
        <v>Week 2</v>
      </c>
      <c r="Q23" s="2">
        <v>45163</v>
      </c>
      <c r="R23" s="2" t="str">
        <f>TEXT(Table1[[#This Row],[ShipDate]],"dddd")</f>
        <v>Friday</v>
      </c>
      <c r="S23" t="s">
        <v>24</v>
      </c>
      <c r="T23">
        <v>17</v>
      </c>
      <c r="U23" t="str">
        <f>IF(Table1[[#This Row],[DateDifference]]&lt;7,"Within Target","Outside Target")</f>
        <v>Outside Target</v>
      </c>
      <c r="V23" t="s">
        <v>32</v>
      </c>
    </row>
    <row r="24" spans="1:22" x14ac:dyDescent="0.3">
      <c r="A24">
        <v>136</v>
      </c>
      <c r="B24">
        <v>3</v>
      </c>
      <c r="C24" t="s">
        <v>33</v>
      </c>
      <c r="D24" t="s">
        <v>34</v>
      </c>
      <c r="E24" s="1">
        <v>0.35</v>
      </c>
      <c r="F24">
        <v>16.07</v>
      </c>
      <c r="G24">
        <v>980.27</v>
      </c>
      <c r="H24">
        <v>21.694500000000001</v>
      </c>
      <c r="I24">
        <f>Table1[[#This Row],[CookiesShipped]]*Table1[[#This Row],[Selling Price]]</f>
        <v>1323.3645000000001</v>
      </c>
      <c r="J24">
        <v>61</v>
      </c>
      <c r="K24">
        <v>1323.3645000000001</v>
      </c>
      <c r="L24">
        <v>343.09450000000015</v>
      </c>
      <c r="M24">
        <v>0.25925925925925936</v>
      </c>
      <c r="N24" s="2">
        <v>45151</v>
      </c>
      <c r="O24" s="2" t="str">
        <f>TEXT(Table1[[#This Row],[OrderDate]],"dddd")</f>
        <v>Sunday</v>
      </c>
      <c r="P24" s="2" t="str">
        <f>IF(AND(Table1[[#This Row],[OrderDate]]&gt;=DATE(2023,7,30),Table1[[#This Row],[OrderDate]]&lt;=DATE(2023,8,5)),"Week 1",
 IF(AND(Table1[[#This Row],[OrderDate]]&gt;=DATE(2023,8,6),Table1[[#This Row],[OrderDate]]&lt;=DATE(2023,8,12)),"Week 2",
 IF(AND(Table1[[#This Row],[OrderDate]]&gt;=DATE(2023,8,13),Table1[[#This Row],[OrderDate]]&lt;=DATE(2023,8,19)),"Week 3",
 IF(AND(Table1[[#This Row],[OrderDate]]&gt;=DATE(2023,8,20),Table1[[#This Row],[OrderDate]]&lt;=DATE(2023,8,26)),"Week 4","Week 5"))))</f>
        <v>Week 3</v>
      </c>
      <c r="Q24" s="2">
        <v>45161</v>
      </c>
      <c r="R24" s="2" t="str">
        <f>TEXT(Table1[[#This Row],[ShipDate]],"dddd")</f>
        <v>Wednesday</v>
      </c>
      <c r="S24" t="s">
        <v>24</v>
      </c>
      <c r="T24">
        <v>10</v>
      </c>
      <c r="U24" t="str">
        <f>IF(Table1[[#This Row],[DateDifference]]&lt;7,"Within Target","Outside Target")</f>
        <v>Outside Target</v>
      </c>
      <c r="V24" t="s">
        <v>38</v>
      </c>
    </row>
    <row r="25" spans="1:22" x14ac:dyDescent="0.3">
      <c r="A25">
        <v>137</v>
      </c>
      <c r="B25">
        <v>1</v>
      </c>
      <c r="C25" t="s">
        <v>22</v>
      </c>
      <c r="D25" t="s">
        <v>23</v>
      </c>
      <c r="E25" s="1">
        <v>0.35</v>
      </c>
      <c r="F25">
        <v>12.23</v>
      </c>
      <c r="G25">
        <v>782.72</v>
      </c>
      <c r="H25">
        <v>16.5105</v>
      </c>
      <c r="I25">
        <f>Table1[[#This Row],[CookiesShipped]]*Table1[[#This Row],[Selling Price]]</f>
        <v>1056.672</v>
      </c>
      <c r="J25">
        <v>64</v>
      </c>
      <c r="K25">
        <v>1056.672</v>
      </c>
      <c r="L25">
        <v>273.952</v>
      </c>
      <c r="M25">
        <v>0.25925925925925924</v>
      </c>
      <c r="N25" s="2">
        <v>45165</v>
      </c>
      <c r="O25" s="2" t="str">
        <f>TEXT(Table1[[#This Row],[OrderDate]],"dddd")</f>
        <v>Sunday</v>
      </c>
      <c r="P25" s="2" t="str">
        <f>IF(AND(Table1[[#This Row],[OrderDate]]&gt;=DATE(2023,7,30),Table1[[#This Row],[OrderDate]]&lt;=DATE(2023,8,5)),"Week 1",
 IF(AND(Table1[[#This Row],[OrderDate]]&gt;=DATE(2023,8,6),Table1[[#This Row],[OrderDate]]&lt;=DATE(2023,8,12)),"Week 2",
 IF(AND(Table1[[#This Row],[OrderDate]]&gt;=DATE(2023,8,13),Table1[[#This Row],[OrderDate]]&lt;=DATE(2023,8,19)),"Week 3",
 IF(AND(Table1[[#This Row],[OrderDate]]&gt;=DATE(2023,8,20),Table1[[#This Row],[OrderDate]]&lt;=DATE(2023,8,26)),"Week 4","Week 5"))))</f>
        <v>Week 5</v>
      </c>
      <c r="Q25" s="2">
        <v>45166</v>
      </c>
      <c r="R25" s="2" t="str">
        <f>TEXT(Table1[[#This Row],[ShipDate]],"dddd")</f>
        <v>Monday</v>
      </c>
      <c r="S25" t="s">
        <v>24</v>
      </c>
      <c r="T25">
        <v>1</v>
      </c>
      <c r="U25" t="str">
        <f>IF(Table1[[#This Row],[DateDifference]]&lt;7,"Within Target","Outside Target")</f>
        <v>Within Target</v>
      </c>
      <c r="V25" t="s">
        <v>38</v>
      </c>
    </row>
    <row r="26" spans="1:22" x14ac:dyDescent="0.3">
      <c r="A26">
        <v>138</v>
      </c>
      <c r="B26">
        <v>5</v>
      </c>
      <c r="C26" t="s">
        <v>30</v>
      </c>
      <c r="D26" t="s">
        <v>31</v>
      </c>
      <c r="E26" s="1">
        <v>0.35</v>
      </c>
      <c r="F26">
        <v>13.4</v>
      </c>
      <c r="G26">
        <v>844.2</v>
      </c>
      <c r="H26">
        <v>18.090000000000003</v>
      </c>
      <c r="I26">
        <f>Table1[[#This Row],[CookiesShipped]]*Table1[[#This Row],[Selling Price]]</f>
        <v>1139.6700000000003</v>
      </c>
      <c r="J26">
        <v>63</v>
      </c>
      <c r="K26">
        <v>1139.6700000000003</v>
      </c>
      <c r="L26">
        <v>295.47000000000025</v>
      </c>
      <c r="M26">
        <v>0.25925925925925941</v>
      </c>
      <c r="N26" s="2">
        <v>45148</v>
      </c>
      <c r="O26" s="2" t="str">
        <f>TEXT(Table1[[#This Row],[OrderDate]],"dddd")</f>
        <v>Thursday</v>
      </c>
      <c r="P26" s="2" t="str">
        <f>IF(AND(Table1[[#This Row],[OrderDate]]&gt;=DATE(2023,7,30),Table1[[#This Row],[OrderDate]]&lt;=DATE(2023,8,5)),"Week 1",
 IF(AND(Table1[[#This Row],[OrderDate]]&gt;=DATE(2023,8,6),Table1[[#This Row],[OrderDate]]&lt;=DATE(2023,8,12)),"Week 2",
 IF(AND(Table1[[#This Row],[OrderDate]]&gt;=DATE(2023,8,13),Table1[[#This Row],[OrderDate]]&lt;=DATE(2023,8,19)),"Week 3",
 IF(AND(Table1[[#This Row],[OrderDate]]&gt;=DATE(2023,8,20),Table1[[#This Row],[OrderDate]]&lt;=DATE(2023,8,26)),"Week 4","Week 5"))))</f>
        <v>Week 2</v>
      </c>
      <c r="Q26" s="2">
        <v>45150</v>
      </c>
      <c r="R26" s="2" t="str">
        <f>TEXT(Table1[[#This Row],[ShipDate]],"dddd")</f>
        <v>Saturday</v>
      </c>
      <c r="S26" t="s">
        <v>24</v>
      </c>
      <c r="T26">
        <v>2</v>
      </c>
      <c r="U26" t="str">
        <f>IF(Table1[[#This Row],[DateDifference]]&lt;7,"Within Target","Outside Target")</f>
        <v>Within Target</v>
      </c>
      <c r="V26" t="s">
        <v>29</v>
      </c>
    </row>
    <row r="27" spans="1:22" x14ac:dyDescent="0.3">
      <c r="A27">
        <v>139</v>
      </c>
      <c r="B27">
        <v>4</v>
      </c>
      <c r="C27" t="s">
        <v>36</v>
      </c>
      <c r="D27" t="s">
        <v>37</v>
      </c>
      <c r="E27" s="1">
        <v>0.35</v>
      </c>
      <c r="F27">
        <v>17.829999999999998</v>
      </c>
      <c r="G27">
        <v>1230.27</v>
      </c>
      <c r="H27">
        <v>24.070499999999999</v>
      </c>
      <c r="I27">
        <f>Table1[[#This Row],[CookiesShipped]]*Table1[[#This Row],[Selling Price]]</f>
        <v>1660.8644999999999</v>
      </c>
      <c r="J27">
        <v>69</v>
      </c>
      <c r="K27">
        <v>1660.8644999999999</v>
      </c>
      <c r="L27">
        <v>430.59449999999993</v>
      </c>
      <c r="M27">
        <v>0.25925925925925924</v>
      </c>
      <c r="N27" s="2">
        <v>45150</v>
      </c>
      <c r="O27" s="2" t="str">
        <f>TEXT(Table1[[#This Row],[OrderDate]],"dddd")</f>
        <v>Saturday</v>
      </c>
      <c r="P27" s="2" t="str">
        <f>IF(AND(Table1[[#This Row],[OrderDate]]&gt;=DATE(2023,7,30),Table1[[#This Row],[OrderDate]]&lt;=DATE(2023,8,5)),"Week 1",
 IF(AND(Table1[[#This Row],[OrderDate]]&gt;=DATE(2023,8,6),Table1[[#This Row],[OrderDate]]&lt;=DATE(2023,8,12)),"Week 2",
 IF(AND(Table1[[#This Row],[OrderDate]]&gt;=DATE(2023,8,13),Table1[[#This Row],[OrderDate]]&lt;=DATE(2023,8,19)),"Week 3",
 IF(AND(Table1[[#This Row],[OrderDate]]&gt;=DATE(2023,8,20),Table1[[#This Row],[OrderDate]]&lt;=DATE(2023,8,26)),"Week 4","Week 5"))))</f>
        <v>Week 2</v>
      </c>
      <c r="Q27" s="2">
        <v>45158</v>
      </c>
      <c r="R27" s="2" t="str">
        <f>TEXT(Table1[[#This Row],[ShipDate]],"dddd")</f>
        <v>Sunday</v>
      </c>
      <c r="S27" t="s">
        <v>24</v>
      </c>
      <c r="T27">
        <v>8</v>
      </c>
      <c r="U27" t="str">
        <f>IF(Table1[[#This Row],[DateDifference]]&lt;7,"Within Target","Outside Target")</f>
        <v>Outside Target</v>
      </c>
      <c r="V27" t="s">
        <v>25</v>
      </c>
    </row>
    <row r="28" spans="1:22" x14ac:dyDescent="0.3">
      <c r="A28">
        <v>140</v>
      </c>
      <c r="B28">
        <v>2</v>
      </c>
      <c r="C28" t="s">
        <v>27</v>
      </c>
      <c r="D28" t="s">
        <v>28</v>
      </c>
      <c r="E28" s="1">
        <v>0.35</v>
      </c>
      <c r="F28">
        <v>12.8</v>
      </c>
      <c r="G28">
        <v>281.60000000000002</v>
      </c>
      <c r="H28">
        <v>17.28</v>
      </c>
      <c r="I28">
        <f>Table1[[#This Row],[CookiesShipped]]*Table1[[#This Row],[Selling Price]]</f>
        <v>380.16</v>
      </c>
      <c r="J28">
        <v>22</v>
      </c>
      <c r="K28">
        <v>380.16</v>
      </c>
      <c r="L28">
        <v>98.56</v>
      </c>
      <c r="M28">
        <v>0.25925925925925924</v>
      </c>
      <c r="N28" s="2">
        <v>45154</v>
      </c>
      <c r="O28" s="2" t="str">
        <f>TEXT(Table1[[#This Row],[OrderDate]],"dddd")</f>
        <v>Wednesday</v>
      </c>
      <c r="P28" s="2" t="str">
        <f>IF(AND(Table1[[#This Row],[OrderDate]]&gt;=DATE(2023,7,30),Table1[[#This Row],[OrderDate]]&lt;=DATE(2023,8,5)),"Week 1",
 IF(AND(Table1[[#This Row],[OrderDate]]&gt;=DATE(2023,8,6),Table1[[#This Row],[OrderDate]]&lt;=DATE(2023,8,12)),"Week 2",
 IF(AND(Table1[[#This Row],[OrderDate]]&gt;=DATE(2023,8,13),Table1[[#This Row],[OrderDate]]&lt;=DATE(2023,8,19)),"Week 3",
 IF(AND(Table1[[#This Row],[OrderDate]]&gt;=DATE(2023,8,20),Table1[[#This Row],[OrderDate]]&lt;=DATE(2023,8,26)),"Week 4","Week 5"))))</f>
        <v>Week 3</v>
      </c>
      <c r="Q28" s="2">
        <v>45164</v>
      </c>
      <c r="R28" s="2" t="str">
        <f>TEXT(Table1[[#This Row],[ShipDate]],"dddd")</f>
        <v>Saturday</v>
      </c>
      <c r="S28" t="s">
        <v>24</v>
      </c>
      <c r="T28">
        <v>10</v>
      </c>
      <c r="U28" t="str">
        <f>IF(Table1[[#This Row],[DateDifference]]&lt;7,"Within Target","Outside Target")</f>
        <v>Outside Target</v>
      </c>
      <c r="V28" t="s">
        <v>26</v>
      </c>
    </row>
    <row r="29" spans="1:22" x14ac:dyDescent="0.3">
      <c r="A29">
        <v>141</v>
      </c>
      <c r="B29">
        <v>3</v>
      </c>
      <c r="C29" t="s">
        <v>33</v>
      </c>
      <c r="D29" t="s">
        <v>34</v>
      </c>
      <c r="E29" s="1">
        <v>0.35</v>
      </c>
      <c r="F29">
        <v>45.35</v>
      </c>
      <c r="G29">
        <v>4217.55</v>
      </c>
      <c r="H29">
        <v>61.222500000000004</v>
      </c>
      <c r="I29">
        <f>Table1[[#This Row],[CookiesShipped]]*Table1[[#This Row],[Selling Price]]</f>
        <v>5693.6925000000001</v>
      </c>
      <c r="J29">
        <v>93</v>
      </c>
      <c r="K29">
        <v>5693.6925000000001</v>
      </c>
      <c r="L29">
        <v>1476.1424999999999</v>
      </c>
      <c r="M29">
        <v>0.25925925925925924</v>
      </c>
      <c r="N29" s="2">
        <v>45147</v>
      </c>
      <c r="O29" s="2" t="str">
        <f>TEXT(Table1[[#This Row],[OrderDate]],"dddd")</f>
        <v>Wednesday</v>
      </c>
      <c r="P29" s="2" t="str">
        <f>IF(AND(Table1[[#This Row],[OrderDate]]&gt;=DATE(2023,7,30),Table1[[#This Row],[OrderDate]]&lt;=DATE(2023,8,5)),"Week 1",
 IF(AND(Table1[[#This Row],[OrderDate]]&gt;=DATE(2023,8,6),Table1[[#This Row],[OrderDate]]&lt;=DATE(2023,8,12)),"Week 2",
 IF(AND(Table1[[#This Row],[OrderDate]]&gt;=DATE(2023,8,13),Table1[[#This Row],[OrderDate]]&lt;=DATE(2023,8,19)),"Week 3",
 IF(AND(Table1[[#This Row],[OrderDate]]&gt;=DATE(2023,8,20),Table1[[#This Row],[OrderDate]]&lt;=DATE(2023,8,26)),"Week 4","Week 5"))))</f>
        <v>Week 2</v>
      </c>
      <c r="Q29" s="2">
        <v>45162</v>
      </c>
      <c r="R29" s="2" t="str">
        <f>TEXT(Table1[[#This Row],[ShipDate]],"dddd")</f>
        <v>Thursday</v>
      </c>
      <c r="S29" t="s">
        <v>24</v>
      </c>
      <c r="T29">
        <v>15</v>
      </c>
      <c r="U29" t="str">
        <f>IF(Table1[[#This Row],[DateDifference]]&lt;7,"Within Target","Outside Target")</f>
        <v>Outside Target</v>
      </c>
      <c r="V29" t="s">
        <v>26</v>
      </c>
    </row>
    <row r="30" spans="1:22" x14ac:dyDescent="0.3">
      <c r="A30">
        <v>142</v>
      </c>
      <c r="B30">
        <v>1</v>
      </c>
      <c r="C30" t="s">
        <v>22</v>
      </c>
      <c r="D30" t="s">
        <v>23</v>
      </c>
      <c r="E30" s="1">
        <v>0.35</v>
      </c>
      <c r="F30">
        <v>8.61</v>
      </c>
      <c r="G30">
        <v>576.87</v>
      </c>
      <c r="H30">
        <v>11.6235</v>
      </c>
      <c r="I30">
        <f>Table1[[#This Row],[CookiesShipped]]*Table1[[#This Row],[Selling Price]]</f>
        <v>778.77449999999999</v>
      </c>
      <c r="J30">
        <v>67</v>
      </c>
      <c r="K30">
        <v>778.77449999999999</v>
      </c>
      <c r="L30">
        <v>201.90449999999998</v>
      </c>
      <c r="M30">
        <v>0.25925925925925924</v>
      </c>
      <c r="N30" s="2">
        <v>45153</v>
      </c>
      <c r="O30" s="2" t="str">
        <f>TEXT(Table1[[#This Row],[OrderDate]],"dddd")</f>
        <v>Tuesday</v>
      </c>
      <c r="P30" s="2" t="str">
        <f>IF(AND(Table1[[#This Row],[OrderDate]]&gt;=DATE(2023,7,30),Table1[[#This Row],[OrderDate]]&lt;=DATE(2023,8,5)),"Week 1",
 IF(AND(Table1[[#This Row],[OrderDate]]&gt;=DATE(2023,8,6),Table1[[#This Row],[OrderDate]]&lt;=DATE(2023,8,12)),"Week 2",
 IF(AND(Table1[[#This Row],[OrderDate]]&gt;=DATE(2023,8,13),Table1[[#This Row],[OrderDate]]&lt;=DATE(2023,8,19)),"Week 3",
 IF(AND(Table1[[#This Row],[OrderDate]]&gt;=DATE(2023,8,20),Table1[[#This Row],[OrderDate]]&lt;=DATE(2023,8,26)),"Week 4","Week 5"))))</f>
        <v>Week 3</v>
      </c>
      <c r="Q30" s="2">
        <v>45158</v>
      </c>
      <c r="R30" s="2" t="str">
        <f>TEXT(Table1[[#This Row],[ShipDate]],"dddd")</f>
        <v>Sunday</v>
      </c>
      <c r="S30" t="s">
        <v>24</v>
      </c>
      <c r="T30">
        <v>5</v>
      </c>
      <c r="U30" t="str">
        <f>IF(Table1[[#This Row],[DateDifference]]&lt;7,"Within Target","Outside Target")</f>
        <v>Within Target</v>
      </c>
      <c r="V30" t="s">
        <v>32</v>
      </c>
    </row>
    <row r="31" spans="1:22" x14ac:dyDescent="0.3">
      <c r="A31">
        <v>143</v>
      </c>
      <c r="B31">
        <v>1</v>
      </c>
      <c r="C31" t="s">
        <v>22</v>
      </c>
      <c r="D31" t="s">
        <v>23</v>
      </c>
      <c r="E31" s="1">
        <v>0.35</v>
      </c>
      <c r="F31">
        <v>28.6</v>
      </c>
      <c r="G31">
        <v>2173.6</v>
      </c>
      <c r="H31">
        <v>38.610000000000007</v>
      </c>
      <c r="I31">
        <f>Table1[[#This Row],[CookiesShipped]]*Table1[[#This Row],[Selling Price]]</f>
        <v>2934.3600000000006</v>
      </c>
      <c r="J31">
        <v>76</v>
      </c>
      <c r="K31">
        <v>2934.3600000000006</v>
      </c>
      <c r="L31">
        <v>760.76000000000067</v>
      </c>
      <c r="M31">
        <v>0.25925925925925941</v>
      </c>
      <c r="N31" s="2">
        <v>45143</v>
      </c>
      <c r="O31" s="2" t="str">
        <f>TEXT(Table1[[#This Row],[OrderDate]],"dddd")</f>
        <v>Saturday</v>
      </c>
      <c r="P31" s="2" t="str">
        <f>IF(AND(Table1[[#This Row],[OrderDate]]&gt;=DATE(2023,7,30),Table1[[#This Row],[OrderDate]]&lt;=DATE(2023,8,5)),"Week 1",
 IF(AND(Table1[[#This Row],[OrderDate]]&gt;=DATE(2023,8,6),Table1[[#This Row],[OrderDate]]&lt;=DATE(2023,8,12)),"Week 2",
 IF(AND(Table1[[#This Row],[OrderDate]]&gt;=DATE(2023,8,13),Table1[[#This Row],[OrderDate]]&lt;=DATE(2023,8,19)),"Week 3",
 IF(AND(Table1[[#This Row],[OrderDate]]&gt;=DATE(2023,8,20),Table1[[#This Row],[OrderDate]]&lt;=DATE(2023,8,26)),"Week 4","Week 5"))))</f>
        <v>Week 1</v>
      </c>
      <c r="Q31" s="2">
        <v>45156</v>
      </c>
      <c r="R31" s="2" t="str">
        <f>TEXT(Table1[[#This Row],[ShipDate]],"dddd")</f>
        <v>Friday</v>
      </c>
      <c r="S31" t="s">
        <v>24</v>
      </c>
      <c r="T31">
        <v>13</v>
      </c>
      <c r="U31" t="str">
        <f>IF(Table1[[#This Row],[DateDifference]]&lt;7,"Within Target","Outside Target")</f>
        <v>Outside Target</v>
      </c>
      <c r="V31" t="s">
        <v>25</v>
      </c>
    </row>
    <row r="32" spans="1:22" x14ac:dyDescent="0.3">
      <c r="A32">
        <v>145</v>
      </c>
      <c r="B32">
        <v>3</v>
      </c>
      <c r="C32" t="s">
        <v>33</v>
      </c>
      <c r="D32" t="s">
        <v>34</v>
      </c>
      <c r="E32" s="1">
        <v>0.35</v>
      </c>
      <c r="F32">
        <v>49.21</v>
      </c>
      <c r="G32">
        <v>787.36</v>
      </c>
      <c r="H32">
        <v>66.433500000000009</v>
      </c>
      <c r="I32">
        <f>Table1[[#This Row],[CookiesShipped]]*Table1[[#This Row],[Selling Price]]</f>
        <v>1062.9360000000001</v>
      </c>
      <c r="J32">
        <v>16</v>
      </c>
      <c r="K32">
        <v>1062.9360000000001</v>
      </c>
      <c r="L32">
        <v>275.57600000000014</v>
      </c>
      <c r="M32">
        <v>0.25925925925925936</v>
      </c>
      <c r="N32" s="2">
        <v>45151</v>
      </c>
      <c r="O32" s="2" t="str">
        <f>TEXT(Table1[[#This Row],[OrderDate]],"dddd")</f>
        <v>Sunday</v>
      </c>
      <c r="P32" s="2" t="str">
        <f>IF(AND(Table1[[#This Row],[OrderDate]]&gt;=DATE(2023,7,30),Table1[[#This Row],[OrderDate]]&lt;=DATE(2023,8,5)),"Week 1",
 IF(AND(Table1[[#This Row],[OrderDate]]&gt;=DATE(2023,8,6),Table1[[#This Row],[OrderDate]]&lt;=DATE(2023,8,12)),"Week 2",
 IF(AND(Table1[[#This Row],[OrderDate]]&gt;=DATE(2023,8,13),Table1[[#This Row],[OrderDate]]&lt;=DATE(2023,8,19)),"Week 3",
 IF(AND(Table1[[#This Row],[OrderDate]]&gt;=DATE(2023,8,20),Table1[[#This Row],[OrderDate]]&lt;=DATE(2023,8,26)),"Week 4","Week 5"))))</f>
        <v>Week 3</v>
      </c>
      <c r="Q32" s="2">
        <v>45166</v>
      </c>
      <c r="R32" s="2" t="str">
        <f>TEXT(Table1[[#This Row],[ShipDate]],"dddd")</f>
        <v>Monday</v>
      </c>
      <c r="S32" t="s">
        <v>24</v>
      </c>
      <c r="T32">
        <v>15</v>
      </c>
      <c r="U32" t="str">
        <f>IF(Table1[[#This Row],[DateDifference]]&lt;7,"Within Target","Outside Target")</f>
        <v>Outside Target</v>
      </c>
      <c r="V32" t="s">
        <v>38</v>
      </c>
    </row>
    <row r="33" spans="1:22" x14ac:dyDescent="0.3">
      <c r="A33">
        <v>146</v>
      </c>
      <c r="B33">
        <v>5</v>
      </c>
      <c r="C33" t="s">
        <v>30</v>
      </c>
      <c r="D33" t="s">
        <v>31</v>
      </c>
      <c r="E33" s="1">
        <v>0.35</v>
      </c>
      <c r="F33">
        <v>10.039999999999999</v>
      </c>
      <c r="G33">
        <v>512.04</v>
      </c>
      <c r="H33">
        <v>13.554</v>
      </c>
      <c r="I33">
        <f>Table1[[#This Row],[CookiesShipped]]*Table1[[#This Row],[Selling Price]]</f>
        <v>691.25400000000002</v>
      </c>
      <c r="J33">
        <v>51</v>
      </c>
      <c r="K33">
        <v>691.25400000000002</v>
      </c>
      <c r="L33">
        <v>179.21400000000006</v>
      </c>
      <c r="M33">
        <v>0.25925925925925936</v>
      </c>
      <c r="N33" s="2">
        <v>45141</v>
      </c>
      <c r="O33" s="2" t="str">
        <f>TEXT(Table1[[#This Row],[OrderDate]],"dddd")</f>
        <v>Thursday</v>
      </c>
      <c r="P33" s="2" t="str">
        <f>IF(AND(Table1[[#This Row],[OrderDate]]&gt;=DATE(2023,7,30),Table1[[#This Row],[OrderDate]]&lt;=DATE(2023,8,5)),"Week 1",
 IF(AND(Table1[[#This Row],[OrderDate]]&gt;=DATE(2023,8,6),Table1[[#This Row],[OrderDate]]&lt;=DATE(2023,8,12)),"Week 2",
 IF(AND(Table1[[#This Row],[OrderDate]]&gt;=DATE(2023,8,13),Table1[[#This Row],[OrderDate]]&lt;=DATE(2023,8,19)),"Week 3",
 IF(AND(Table1[[#This Row],[OrderDate]]&gt;=DATE(2023,8,20),Table1[[#This Row],[OrderDate]]&lt;=DATE(2023,8,26)),"Week 4","Week 5"))))</f>
        <v>Week 1</v>
      </c>
      <c r="Q33" s="2">
        <v>45143</v>
      </c>
      <c r="R33" s="2" t="str">
        <f>TEXT(Table1[[#This Row],[ShipDate]],"dddd")</f>
        <v>Saturday</v>
      </c>
      <c r="S33" t="s">
        <v>24</v>
      </c>
      <c r="T33">
        <v>2</v>
      </c>
      <c r="U33" t="str">
        <f>IF(Table1[[#This Row],[DateDifference]]&lt;7,"Within Target","Outside Target")</f>
        <v>Within Target</v>
      </c>
      <c r="V33" t="s">
        <v>29</v>
      </c>
    </row>
    <row r="34" spans="1:22" x14ac:dyDescent="0.3">
      <c r="A34">
        <v>147</v>
      </c>
      <c r="B34">
        <v>3</v>
      </c>
      <c r="C34" t="s">
        <v>33</v>
      </c>
      <c r="D34" t="s">
        <v>34</v>
      </c>
      <c r="E34" s="1">
        <v>0.35</v>
      </c>
      <c r="F34">
        <v>22.9</v>
      </c>
      <c r="G34">
        <v>1969.3999999999999</v>
      </c>
      <c r="H34">
        <v>30.914999999999999</v>
      </c>
      <c r="I34">
        <f>Table1[[#This Row],[CookiesShipped]]*Table1[[#This Row],[Selling Price]]</f>
        <v>2658.69</v>
      </c>
      <c r="J34">
        <v>86</v>
      </c>
      <c r="K34">
        <v>2658.69</v>
      </c>
      <c r="L34">
        <v>689.29000000000019</v>
      </c>
      <c r="M34">
        <v>0.2592592592592593</v>
      </c>
      <c r="N34" s="2">
        <v>45148</v>
      </c>
      <c r="O34" s="2" t="str">
        <f>TEXT(Table1[[#This Row],[OrderDate]],"dddd")</f>
        <v>Thursday</v>
      </c>
      <c r="P34" s="2" t="str">
        <f>IF(AND(Table1[[#This Row],[OrderDate]]&gt;=DATE(2023,7,30),Table1[[#This Row],[OrderDate]]&lt;=DATE(2023,8,5)),"Week 1",
 IF(AND(Table1[[#This Row],[OrderDate]]&gt;=DATE(2023,8,6),Table1[[#This Row],[OrderDate]]&lt;=DATE(2023,8,12)),"Week 2",
 IF(AND(Table1[[#This Row],[OrderDate]]&gt;=DATE(2023,8,13),Table1[[#This Row],[OrderDate]]&lt;=DATE(2023,8,19)),"Week 3",
 IF(AND(Table1[[#This Row],[OrderDate]]&gt;=DATE(2023,8,20),Table1[[#This Row],[OrderDate]]&lt;=DATE(2023,8,26)),"Week 4","Week 5"))))</f>
        <v>Week 2</v>
      </c>
      <c r="Q34" s="2">
        <v>45156</v>
      </c>
      <c r="R34" s="2" t="str">
        <f>TEXT(Table1[[#This Row],[ShipDate]],"dddd")</f>
        <v>Friday</v>
      </c>
      <c r="S34" t="s">
        <v>24</v>
      </c>
      <c r="T34">
        <v>8</v>
      </c>
      <c r="U34" t="str">
        <f>IF(Table1[[#This Row],[DateDifference]]&lt;7,"Within Target","Outside Target")</f>
        <v>Outside Target</v>
      </c>
      <c r="V34" t="s">
        <v>29</v>
      </c>
    </row>
    <row r="35" spans="1:22" x14ac:dyDescent="0.3">
      <c r="A35">
        <v>148</v>
      </c>
      <c r="B35">
        <v>4</v>
      </c>
      <c r="C35" t="s">
        <v>36</v>
      </c>
      <c r="D35" t="s">
        <v>37</v>
      </c>
      <c r="E35" s="1">
        <v>0.35</v>
      </c>
      <c r="F35">
        <v>48.63</v>
      </c>
      <c r="G35">
        <v>2771.9100000000003</v>
      </c>
      <c r="H35">
        <v>65.650500000000008</v>
      </c>
      <c r="I35">
        <f>Table1[[#This Row],[CookiesShipped]]*Table1[[#This Row],[Selling Price]]</f>
        <v>3742.0785000000005</v>
      </c>
      <c r="J35">
        <v>57</v>
      </c>
      <c r="K35">
        <v>3742.0785000000005</v>
      </c>
      <c r="L35">
        <v>970.16850000000022</v>
      </c>
      <c r="M35">
        <v>0.2592592592592593</v>
      </c>
      <c r="N35" s="2">
        <v>45149</v>
      </c>
      <c r="O35" s="2" t="str">
        <f>TEXT(Table1[[#This Row],[OrderDate]],"dddd")</f>
        <v>Friday</v>
      </c>
      <c r="P35" s="2" t="str">
        <f>IF(AND(Table1[[#This Row],[OrderDate]]&gt;=DATE(2023,7,30),Table1[[#This Row],[OrderDate]]&lt;=DATE(2023,8,5)),"Week 1",
 IF(AND(Table1[[#This Row],[OrderDate]]&gt;=DATE(2023,8,6),Table1[[#This Row],[OrderDate]]&lt;=DATE(2023,8,12)),"Week 2",
 IF(AND(Table1[[#This Row],[OrderDate]]&gt;=DATE(2023,8,13),Table1[[#This Row],[OrderDate]]&lt;=DATE(2023,8,19)),"Week 3",
 IF(AND(Table1[[#This Row],[OrderDate]]&gt;=DATE(2023,8,20),Table1[[#This Row],[OrderDate]]&lt;=DATE(2023,8,26)),"Week 4","Week 5"))))</f>
        <v>Week 2</v>
      </c>
      <c r="Q35" s="2">
        <v>45165</v>
      </c>
      <c r="R35" s="2" t="str">
        <f>TEXT(Table1[[#This Row],[ShipDate]],"dddd")</f>
        <v>Sunday</v>
      </c>
      <c r="S35" t="s">
        <v>24</v>
      </c>
      <c r="T35">
        <v>16</v>
      </c>
      <c r="U35" t="str">
        <f>IF(Table1[[#This Row],[DateDifference]]&lt;7,"Within Target","Outside Target")</f>
        <v>Outside Target</v>
      </c>
      <c r="V35" t="s">
        <v>35</v>
      </c>
    </row>
    <row r="36" spans="1:22" x14ac:dyDescent="0.3">
      <c r="A36">
        <v>151</v>
      </c>
      <c r="B36">
        <v>4</v>
      </c>
      <c r="C36" t="s">
        <v>36</v>
      </c>
      <c r="D36" t="s">
        <v>37</v>
      </c>
      <c r="E36" s="1">
        <v>0.35</v>
      </c>
      <c r="F36">
        <v>16.61</v>
      </c>
      <c r="G36">
        <v>1528.12</v>
      </c>
      <c r="H36">
        <v>22.423500000000001</v>
      </c>
      <c r="I36">
        <f>Table1[[#This Row],[CookiesShipped]]*Table1[[#This Row],[Selling Price]]</f>
        <v>2062.962</v>
      </c>
      <c r="J36">
        <v>92</v>
      </c>
      <c r="K36">
        <v>2062.962</v>
      </c>
      <c r="L36">
        <v>534.8420000000001</v>
      </c>
      <c r="M36">
        <v>0.2592592592592593</v>
      </c>
      <c r="N36" s="2">
        <v>45161</v>
      </c>
      <c r="O36" s="2" t="str">
        <f>TEXT(Table1[[#This Row],[OrderDate]],"dddd")</f>
        <v>Wednesday</v>
      </c>
      <c r="P36" s="2" t="str">
        <f>IF(AND(Table1[[#This Row],[OrderDate]]&gt;=DATE(2023,7,30),Table1[[#This Row],[OrderDate]]&lt;=DATE(2023,8,5)),"Week 1",
 IF(AND(Table1[[#This Row],[OrderDate]]&gt;=DATE(2023,8,6),Table1[[#This Row],[OrderDate]]&lt;=DATE(2023,8,12)),"Week 2",
 IF(AND(Table1[[#This Row],[OrderDate]]&gt;=DATE(2023,8,13),Table1[[#This Row],[OrderDate]]&lt;=DATE(2023,8,19)),"Week 3",
 IF(AND(Table1[[#This Row],[OrderDate]]&gt;=DATE(2023,8,20),Table1[[#This Row],[OrderDate]]&lt;=DATE(2023,8,26)),"Week 4","Week 5"))))</f>
        <v>Week 4</v>
      </c>
      <c r="Q36" s="2">
        <v>45164</v>
      </c>
      <c r="R36" s="2" t="str">
        <f>TEXT(Table1[[#This Row],[ShipDate]],"dddd")</f>
        <v>Saturday</v>
      </c>
      <c r="S36" t="s">
        <v>24</v>
      </c>
      <c r="T36">
        <v>3</v>
      </c>
      <c r="U36" t="str">
        <f>IF(Table1[[#This Row],[DateDifference]]&lt;7,"Within Target","Outside Target")</f>
        <v>Within Target</v>
      </c>
      <c r="V36" t="s">
        <v>26</v>
      </c>
    </row>
    <row r="37" spans="1:22" x14ac:dyDescent="0.3">
      <c r="A37">
        <v>152</v>
      </c>
      <c r="B37">
        <v>3</v>
      </c>
      <c r="C37" t="s">
        <v>33</v>
      </c>
      <c r="D37" t="s">
        <v>34</v>
      </c>
      <c r="E37" s="1">
        <v>0.35</v>
      </c>
      <c r="F37">
        <v>12.69</v>
      </c>
      <c r="G37">
        <v>875.61</v>
      </c>
      <c r="H37">
        <v>17.131499999999999</v>
      </c>
      <c r="I37">
        <f>Table1[[#This Row],[CookiesShipped]]*Table1[[#This Row],[Selling Price]]</f>
        <v>1182.0735</v>
      </c>
      <c r="J37">
        <v>69</v>
      </c>
      <c r="K37">
        <v>1182.0735</v>
      </c>
      <c r="L37">
        <v>306.46349999999995</v>
      </c>
      <c r="M37">
        <v>0.25925925925925924</v>
      </c>
      <c r="N37" s="2">
        <v>45140</v>
      </c>
      <c r="O37" s="2" t="str">
        <f>TEXT(Table1[[#This Row],[OrderDate]],"dddd")</f>
        <v>Wednesday</v>
      </c>
      <c r="P37" s="2" t="str">
        <f>IF(AND(Table1[[#This Row],[OrderDate]]&gt;=DATE(2023,7,30),Table1[[#This Row],[OrderDate]]&lt;=DATE(2023,8,5)),"Week 1",
 IF(AND(Table1[[#This Row],[OrderDate]]&gt;=DATE(2023,8,6),Table1[[#This Row],[OrderDate]]&lt;=DATE(2023,8,12)),"Week 2",
 IF(AND(Table1[[#This Row],[OrderDate]]&gt;=DATE(2023,8,13),Table1[[#This Row],[OrderDate]]&lt;=DATE(2023,8,19)),"Week 3",
 IF(AND(Table1[[#This Row],[OrderDate]]&gt;=DATE(2023,8,20),Table1[[#This Row],[OrderDate]]&lt;=DATE(2023,8,26)),"Week 4","Week 5"))))</f>
        <v>Week 1</v>
      </c>
      <c r="Q37" s="2">
        <v>45150</v>
      </c>
      <c r="R37" s="2" t="str">
        <f>TEXT(Table1[[#This Row],[ShipDate]],"dddd")</f>
        <v>Saturday</v>
      </c>
      <c r="S37" t="s">
        <v>24</v>
      </c>
      <c r="T37">
        <v>10</v>
      </c>
      <c r="U37" t="str">
        <f>IF(Table1[[#This Row],[DateDifference]]&lt;7,"Within Target","Outside Target")</f>
        <v>Outside Target</v>
      </c>
      <c r="V37" t="s">
        <v>26</v>
      </c>
    </row>
    <row r="38" spans="1:22" x14ac:dyDescent="0.3">
      <c r="A38">
        <v>155</v>
      </c>
      <c r="B38">
        <v>3</v>
      </c>
      <c r="C38" t="s">
        <v>33</v>
      </c>
      <c r="D38" t="s">
        <v>34</v>
      </c>
      <c r="E38" s="1">
        <v>0.35</v>
      </c>
      <c r="F38">
        <v>30.05</v>
      </c>
      <c r="G38">
        <v>1863.1000000000001</v>
      </c>
      <c r="H38">
        <v>40.567500000000003</v>
      </c>
      <c r="I38">
        <f>Table1[[#This Row],[CookiesShipped]]*Table1[[#This Row],[Selling Price]]</f>
        <v>2515.1849999999999</v>
      </c>
      <c r="J38">
        <v>62</v>
      </c>
      <c r="K38">
        <v>2515.1849999999999</v>
      </c>
      <c r="L38">
        <v>652.08499999999981</v>
      </c>
      <c r="M38">
        <v>0.25925925925925919</v>
      </c>
      <c r="N38" s="2">
        <v>45141</v>
      </c>
      <c r="O38" s="2" t="str">
        <f>TEXT(Table1[[#This Row],[OrderDate]],"dddd")</f>
        <v>Thursday</v>
      </c>
      <c r="P38" s="2" t="str">
        <f>IF(AND(Table1[[#This Row],[OrderDate]]&gt;=DATE(2023,7,30),Table1[[#This Row],[OrderDate]]&lt;=DATE(2023,8,5)),"Week 1",
 IF(AND(Table1[[#This Row],[OrderDate]]&gt;=DATE(2023,8,6),Table1[[#This Row],[OrderDate]]&lt;=DATE(2023,8,12)),"Week 2",
 IF(AND(Table1[[#This Row],[OrderDate]]&gt;=DATE(2023,8,13),Table1[[#This Row],[OrderDate]]&lt;=DATE(2023,8,19)),"Week 3",
 IF(AND(Table1[[#This Row],[OrderDate]]&gt;=DATE(2023,8,20),Table1[[#This Row],[OrderDate]]&lt;=DATE(2023,8,26)),"Week 4","Week 5"))))</f>
        <v>Week 1</v>
      </c>
      <c r="Q38" s="2">
        <v>45148</v>
      </c>
      <c r="R38" s="2" t="str">
        <f>TEXT(Table1[[#This Row],[ShipDate]],"dddd")</f>
        <v>Thursday</v>
      </c>
      <c r="S38" t="s">
        <v>24</v>
      </c>
      <c r="T38">
        <v>7</v>
      </c>
      <c r="U38" t="str">
        <f>IF(Table1[[#This Row],[DateDifference]]&lt;7,"Within Target","Outside Target")</f>
        <v>Outside Target</v>
      </c>
      <c r="V38" t="s">
        <v>29</v>
      </c>
    </row>
    <row r="39" spans="1:22" x14ac:dyDescent="0.3">
      <c r="A39">
        <v>156</v>
      </c>
      <c r="B39">
        <v>4</v>
      </c>
      <c r="C39" t="s">
        <v>36</v>
      </c>
      <c r="D39" t="s">
        <v>37</v>
      </c>
      <c r="E39" s="1">
        <v>0.35</v>
      </c>
      <c r="F39">
        <v>30.72</v>
      </c>
      <c r="G39">
        <v>2119.6799999999998</v>
      </c>
      <c r="H39">
        <v>41.472000000000001</v>
      </c>
      <c r="I39">
        <f>Table1[[#This Row],[CookiesShipped]]*Table1[[#This Row],[Selling Price]]</f>
        <v>2861.5680000000002</v>
      </c>
      <c r="J39">
        <v>69</v>
      </c>
      <c r="K39">
        <v>2861.5680000000002</v>
      </c>
      <c r="L39">
        <v>741.88800000000037</v>
      </c>
      <c r="M39">
        <v>0.25925925925925936</v>
      </c>
      <c r="N39" s="2">
        <v>45141</v>
      </c>
      <c r="O39" s="2" t="str">
        <f>TEXT(Table1[[#This Row],[OrderDate]],"dddd")</f>
        <v>Thursday</v>
      </c>
      <c r="P39" s="2" t="str">
        <f>IF(AND(Table1[[#This Row],[OrderDate]]&gt;=DATE(2023,7,30),Table1[[#This Row],[OrderDate]]&lt;=DATE(2023,8,5)),"Week 1",
 IF(AND(Table1[[#This Row],[OrderDate]]&gt;=DATE(2023,8,6),Table1[[#This Row],[OrderDate]]&lt;=DATE(2023,8,12)),"Week 2",
 IF(AND(Table1[[#This Row],[OrderDate]]&gt;=DATE(2023,8,13),Table1[[#This Row],[OrderDate]]&lt;=DATE(2023,8,19)),"Week 3",
 IF(AND(Table1[[#This Row],[OrderDate]]&gt;=DATE(2023,8,20),Table1[[#This Row],[OrderDate]]&lt;=DATE(2023,8,26)),"Week 4","Week 5"))))</f>
        <v>Week 1</v>
      </c>
      <c r="Q39" s="2">
        <v>45161</v>
      </c>
      <c r="R39" s="2" t="str">
        <f>TEXT(Table1[[#This Row],[ShipDate]],"dddd")</f>
        <v>Wednesday</v>
      </c>
      <c r="S39" t="s">
        <v>24</v>
      </c>
      <c r="T39">
        <v>20</v>
      </c>
      <c r="U39" t="str">
        <f>IF(Table1[[#This Row],[DateDifference]]&lt;7,"Within Target","Outside Target")</f>
        <v>Outside Target</v>
      </c>
      <c r="V39" t="s">
        <v>29</v>
      </c>
    </row>
    <row r="40" spans="1:22" x14ac:dyDescent="0.3">
      <c r="A40">
        <v>157</v>
      </c>
      <c r="B40">
        <v>4</v>
      </c>
      <c r="C40" t="s">
        <v>36</v>
      </c>
      <c r="D40" t="s">
        <v>37</v>
      </c>
      <c r="E40" s="1">
        <v>0.35</v>
      </c>
      <c r="F40">
        <v>17.600000000000001</v>
      </c>
      <c r="G40">
        <v>1337.6000000000001</v>
      </c>
      <c r="H40">
        <v>23.760000000000005</v>
      </c>
      <c r="I40">
        <f>Table1[[#This Row],[CookiesShipped]]*Table1[[#This Row],[Selling Price]]</f>
        <v>1805.7600000000004</v>
      </c>
      <c r="J40">
        <v>76</v>
      </c>
      <c r="K40">
        <v>1805.7600000000004</v>
      </c>
      <c r="L40">
        <v>468.16000000000031</v>
      </c>
      <c r="M40">
        <v>0.25925925925925936</v>
      </c>
      <c r="N40" s="2">
        <v>45160</v>
      </c>
      <c r="O40" s="2" t="str">
        <f>TEXT(Table1[[#This Row],[OrderDate]],"dddd")</f>
        <v>Tuesday</v>
      </c>
      <c r="P40" s="2" t="str">
        <f>IF(AND(Table1[[#This Row],[OrderDate]]&gt;=DATE(2023,7,30),Table1[[#This Row],[OrderDate]]&lt;=DATE(2023,8,5)),"Week 1",
 IF(AND(Table1[[#This Row],[OrderDate]]&gt;=DATE(2023,8,6),Table1[[#This Row],[OrderDate]]&lt;=DATE(2023,8,12)),"Week 2",
 IF(AND(Table1[[#This Row],[OrderDate]]&gt;=DATE(2023,8,13),Table1[[#This Row],[OrderDate]]&lt;=DATE(2023,8,19)),"Week 3",
 IF(AND(Table1[[#This Row],[OrderDate]]&gt;=DATE(2023,8,20),Table1[[#This Row],[OrderDate]]&lt;=DATE(2023,8,26)),"Week 4","Week 5"))))</f>
        <v>Week 4</v>
      </c>
      <c r="Q40" s="2">
        <v>45166</v>
      </c>
      <c r="R40" s="2" t="str">
        <f>TEXT(Table1[[#This Row],[ShipDate]],"dddd")</f>
        <v>Monday</v>
      </c>
      <c r="S40" t="s">
        <v>24</v>
      </c>
      <c r="T40">
        <v>6</v>
      </c>
      <c r="U40" t="str">
        <f>IF(Table1[[#This Row],[DateDifference]]&lt;7,"Within Target","Outside Target")</f>
        <v>Within Target</v>
      </c>
      <c r="V40" t="s">
        <v>32</v>
      </c>
    </row>
    <row r="41" spans="1:22" x14ac:dyDescent="0.3">
      <c r="A41">
        <v>159</v>
      </c>
      <c r="B41">
        <v>1</v>
      </c>
      <c r="C41" t="s">
        <v>22</v>
      </c>
      <c r="D41" t="s">
        <v>23</v>
      </c>
      <c r="E41" s="1">
        <v>0.35</v>
      </c>
      <c r="F41">
        <v>13.42</v>
      </c>
      <c r="G41">
        <v>1207.8</v>
      </c>
      <c r="H41">
        <v>18.117000000000001</v>
      </c>
      <c r="I41">
        <f>Table1[[#This Row],[CookiesShipped]]*Table1[[#This Row],[Selling Price]]</f>
        <v>1630.53</v>
      </c>
      <c r="J41">
        <v>90</v>
      </c>
      <c r="K41">
        <v>1630.53</v>
      </c>
      <c r="L41">
        <v>422.73</v>
      </c>
      <c r="M41">
        <v>0.2592592592592593</v>
      </c>
      <c r="N41" s="2">
        <v>45156</v>
      </c>
      <c r="O41" s="2" t="str">
        <f>TEXT(Table1[[#This Row],[OrderDate]],"dddd")</f>
        <v>Friday</v>
      </c>
      <c r="P41" s="2" t="str">
        <f>IF(AND(Table1[[#This Row],[OrderDate]]&gt;=DATE(2023,7,30),Table1[[#This Row],[OrderDate]]&lt;=DATE(2023,8,5)),"Week 1",
 IF(AND(Table1[[#This Row],[OrderDate]]&gt;=DATE(2023,8,6),Table1[[#This Row],[OrderDate]]&lt;=DATE(2023,8,12)),"Week 2",
 IF(AND(Table1[[#This Row],[OrderDate]]&gt;=DATE(2023,8,13),Table1[[#This Row],[OrderDate]]&lt;=DATE(2023,8,19)),"Week 3",
 IF(AND(Table1[[#This Row],[OrderDate]]&gt;=DATE(2023,8,20),Table1[[#This Row],[OrderDate]]&lt;=DATE(2023,8,26)),"Week 4","Week 5"))))</f>
        <v>Week 3</v>
      </c>
      <c r="Q41" s="2">
        <v>45166</v>
      </c>
      <c r="R41" s="2" t="str">
        <f>TEXT(Table1[[#This Row],[ShipDate]],"dddd")</f>
        <v>Monday</v>
      </c>
      <c r="S41" t="s">
        <v>24</v>
      </c>
      <c r="T41">
        <v>10</v>
      </c>
      <c r="U41" t="str">
        <f>IF(Table1[[#This Row],[DateDifference]]&lt;7,"Within Target","Outside Target")</f>
        <v>Outside Target</v>
      </c>
      <c r="V41" t="s">
        <v>35</v>
      </c>
    </row>
    <row r="42" spans="1:22" x14ac:dyDescent="0.3">
      <c r="A42">
        <v>161</v>
      </c>
      <c r="B42">
        <v>1</v>
      </c>
      <c r="C42" t="s">
        <v>22</v>
      </c>
      <c r="D42" t="s">
        <v>23</v>
      </c>
      <c r="E42" s="1">
        <v>0.35</v>
      </c>
      <c r="F42">
        <v>24.14</v>
      </c>
      <c r="G42">
        <v>1158.72</v>
      </c>
      <c r="H42">
        <v>32.589000000000006</v>
      </c>
      <c r="I42">
        <f>Table1[[#This Row],[CookiesShipped]]*Table1[[#This Row],[Selling Price]]</f>
        <v>1564.2720000000004</v>
      </c>
      <c r="J42">
        <v>48</v>
      </c>
      <c r="K42">
        <v>1564.2720000000004</v>
      </c>
      <c r="L42">
        <v>405.55200000000036</v>
      </c>
      <c r="M42">
        <v>0.25925925925925941</v>
      </c>
      <c r="N42" s="2">
        <v>45143</v>
      </c>
      <c r="O42" s="2" t="str">
        <f>TEXT(Table1[[#This Row],[OrderDate]],"dddd")</f>
        <v>Saturday</v>
      </c>
      <c r="P42" s="2" t="str">
        <f>IF(AND(Table1[[#This Row],[OrderDate]]&gt;=DATE(2023,7,30),Table1[[#This Row],[OrderDate]]&lt;=DATE(2023,8,5)),"Week 1",
 IF(AND(Table1[[#This Row],[OrderDate]]&gt;=DATE(2023,8,6),Table1[[#This Row],[OrderDate]]&lt;=DATE(2023,8,12)),"Week 2",
 IF(AND(Table1[[#This Row],[OrderDate]]&gt;=DATE(2023,8,13),Table1[[#This Row],[OrderDate]]&lt;=DATE(2023,8,19)),"Week 3",
 IF(AND(Table1[[#This Row],[OrderDate]]&gt;=DATE(2023,8,20),Table1[[#This Row],[OrderDate]]&lt;=DATE(2023,8,26)),"Week 4","Week 5"))))</f>
        <v>Week 1</v>
      </c>
      <c r="Q42" s="2">
        <v>45147</v>
      </c>
      <c r="R42" s="2" t="str">
        <f>TEXT(Table1[[#This Row],[ShipDate]],"dddd")</f>
        <v>Wednesday</v>
      </c>
      <c r="S42" t="s">
        <v>24</v>
      </c>
      <c r="T42">
        <v>4</v>
      </c>
      <c r="U42" t="str">
        <f>IF(Table1[[#This Row],[DateDifference]]&lt;7,"Within Target","Outside Target")</f>
        <v>Within Target</v>
      </c>
      <c r="V42" t="s">
        <v>25</v>
      </c>
    </row>
    <row r="43" spans="1:22" x14ac:dyDescent="0.3">
      <c r="A43">
        <v>162</v>
      </c>
      <c r="B43">
        <v>3</v>
      </c>
      <c r="C43" t="s">
        <v>33</v>
      </c>
      <c r="D43" t="s">
        <v>34</v>
      </c>
      <c r="E43" s="1">
        <v>0.35</v>
      </c>
      <c r="F43">
        <v>27.84</v>
      </c>
      <c r="G43">
        <v>2366.4</v>
      </c>
      <c r="H43">
        <v>37.584000000000003</v>
      </c>
      <c r="I43">
        <f>Table1[[#This Row],[CookiesShipped]]*Table1[[#This Row],[Selling Price]]</f>
        <v>3194.6400000000003</v>
      </c>
      <c r="J43">
        <v>85</v>
      </c>
      <c r="K43">
        <v>3194.6400000000003</v>
      </c>
      <c r="L43">
        <v>828.24000000000024</v>
      </c>
      <c r="M43">
        <v>0.2592592592592593</v>
      </c>
      <c r="N43" s="2">
        <v>45144</v>
      </c>
      <c r="O43" s="2" t="str">
        <f>TEXT(Table1[[#This Row],[OrderDate]],"dddd")</f>
        <v>Sunday</v>
      </c>
      <c r="P43" s="2" t="str">
        <f>IF(AND(Table1[[#This Row],[OrderDate]]&gt;=DATE(2023,7,30),Table1[[#This Row],[OrderDate]]&lt;=DATE(2023,8,5)),"Week 1",
 IF(AND(Table1[[#This Row],[OrderDate]]&gt;=DATE(2023,8,6),Table1[[#This Row],[OrderDate]]&lt;=DATE(2023,8,12)),"Week 2",
 IF(AND(Table1[[#This Row],[OrderDate]]&gt;=DATE(2023,8,13),Table1[[#This Row],[OrderDate]]&lt;=DATE(2023,8,19)),"Week 3",
 IF(AND(Table1[[#This Row],[OrderDate]]&gt;=DATE(2023,8,20),Table1[[#This Row],[OrderDate]]&lt;=DATE(2023,8,26)),"Week 4","Week 5"))))</f>
        <v>Week 2</v>
      </c>
      <c r="Q43" s="2">
        <v>45145</v>
      </c>
      <c r="R43" s="2" t="str">
        <f>TEXT(Table1[[#This Row],[ShipDate]],"dddd")</f>
        <v>Monday</v>
      </c>
      <c r="S43" t="s">
        <v>24</v>
      </c>
      <c r="T43">
        <v>1</v>
      </c>
      <c r="U43" t="str">
        <f>IF(Table1[[#This Row],[DateDifference]]&lt;7,"Within Target","Outside Target")</f>
        <v>Within Target</v>
      </c>
      <c r="V43" t="s">
        <v>38</v>
      </c>
    </row>
    <row r="44" spans="1:22" x14ac:dyDescent="0.3">
      <c r="A44">
        <v>163</v>
      </c>
      <c r="B44">
        <v>4</v>
      </c>
      <c r="C44" t="s">
        <v>36</v>
      </c>
      <c r="D44" t="s">
        <v>37</v>
      </c>
      <c r="E44" s="1">
        <v>0.35</v>
      </c>
      <c r="F44">
        <v>15.91</v>
      </c>
      <c r="G44">
        <v>620.49</v>
      </c>
      <c r="H44">
        <v>21.4785</v>
      </c>
      <c r="I44">
        <f>Table1[[#This Row],[CookiesShipped]]*Table1[[#This Row],[Selling Price]]</f>
        <v>837.66150000000005</v>
      </c>
      <c r="J44">
        <v>39</v>
      </c>
      <c r="K44">
        <v>837.66150000000005</v>
      </c>
      <c r="L44">
        <v>217.17150000000004</v>
      </c>
      <c r="M44">
        <v>0.2592592592592593</v>
      </c>
      <c r="N44" s="2">
        <v>45150</v>
      </c>
      <c r="O44" s="2" t="str">
        <f>TEXT(Table1[[#This Row],[OrderDate]],"dddd")</f>
        <v>Saturday</v>
      </c>
      <c r="P44" s="2" t="str">
        <f>IF(AND(Table1[[#This Row],[OrderDate]]&gt;=DATE(2023,7,30),Table1[[#This Row],[OrderDate]]&lt;=DATE(2023,8,5)),"Week 1",
 IF(AND(Table1[[#This Row],[OrderDate]]&gt;=DATE(2023,8,6),Table1[[#This Row],[OrderDate]]&lt;=DATE(2023,8,12)),"Week 2",
 IF(AND(Table1[[#This Row],[OrderDate]]&gt;=DATE(2023,8,13),Table1[[#This Row],[OrderDate]]&lt;=DATE(2023,8,19)),"Week 3",
 IF(AND(Table1[[#This Row],[OrderDate]]&gt;=DATE(2023,8,20),Table1[[#This Row],[OrderDate]]&lt;=DATE(2023,8,26)),"Week 4","Week 5"))))</f>
        <v>Week 2</v>
      </c>
      <c r="Q44" s="2">
        <v>45165</v>
      </c>
      <c r="R44" s="2" t="str">
        <f>TEXT(Table1[[#This Row],[ShipDate]],"dddd")</f>
        <v>Sunday</v>
      </c>
      <c r="S44" t="s">
        <v>24</v>
      </c>
      <c r="T44">
        <v>15</v>
      </c>
      <c r="U44" t="str">
        <f>IF(Table1[[#This Row],[DateDifference]]&lt;7,"Within Target","Outside Target")</f>
        <v>Outside Target</v>
      </c>
      <c r="V44" t="s">
        <v>25</v>
      </c>
    </row>
    <row r="45" spans="1:22" x14ac:dyDescent="0.3">
      <c r="A45">
        <v>164</v>
      </c>
      <c r="B45">
        <v>1</v>
      </c>
      <c r="C45" t="s">
        <v>22</v>
      </c>
      <c r="D45" t="s">
        <v>23</v>
      </c>
      <c r="E45" s="1">
        <v>0.35</v>
      </c>
      <c r="F45">
        <v>10.17</v>
      </c>
      <c r="G45">
        <v>1017</v>
      </c>
      <c r="H45">
        <v>13.729500000000002</v>
      </c>
      <c r="I45">
        <f>Table1[[#This Row],[CookiesShipped]]*Table1[[#This Row],[Selling Price]]</f>
        <v>1372.9500000000003</v>
      </c>
      <c r="J45">
        <v>100</v>
      </c>
      <c r="K45">
        <v>1372.9500000000003</v>
      </c>
      <c r="L45">
        <v>355.95000000000027</v>
      </c>
      <c r="M45">
        <v>0.25925925925925941</v>
      </c>
      <c r="N45" s="2">
        <v>45150</v>
      </c>
      <c r="O45" s="2" t="str">
        <f>TEXT(Table1[[#This Row],[OrderDate]],"dddd")</f>
        <v>Saturday</v>
      </c>
      <c r="P45" s="2" t="str">
        <f>IF(AND(Table1[[#This Row],[OrderDate]]&gt;=DATE(2023,7,30),Table1[[#This Row],[OrderDate]]&lt;=DATE(2023,8,5)),"Week 1",
 IF(AND(Table1[[#This Row],[OrderDate]]&gt;=DATE(2023,8,6),Table1[[#This Row],[OrderDate]]&lt;=DATE(2023,8,12)),"Week 2",
 IF(AND(Table1[[#This Row],[OrderDate]]&gt;=DATE(2023,8,13),Table1[[#This Row],[OrderDate]]&lt;=DATE(2023,8,19)),"Week 3",
 IF(AND(Table1[[#This Row],[OrderDate]]&gt;=DATE(2023,8,20),Table1[[#This Row],[OrderDate]]&lt;=DATE(2023,8,26)),"Week 4","Week 5"))))</f>
        <v>Week 2</v>
      </c>
      <c r="Q45" s="2">
        <v>45162</v>
      </c>
      <c r="R45" s="2" t="str">
        <f>TEXT(Table1[[#This Row],[ShipDate]],"dddd")</f>
        <v>Thursday</v>
      </c>
      <c r="S45" t="s">
        <v>24</v>
      </c>
      <c r="T45">
        <v>12</v>
      </c>
      <c r="U45" t="str">
        <f>IF(Table1[[#This Row],[DateDifference]]&lt;7,"Within Target","Outside Target")</f>
        <v>Outside Target</v>
      </c>
      <c r="V45" t="s">
        <v>25</v>
      </c>
    </row>
    <row r="46" spans="1:22" x14ac:dyDescent="0.3">
      <c r="A46">
        <v>165</v>
      </c>
      <c r="B46">
        <v>1</v>
      </c>
      <c r="C46" t="s">
        <v>22</v>
      </c>
      <c r="D46" t="s">
        <v>23</v>
      </c>
      <c r="E46" s="1">
        <v>0.35</v>
      </c>
      <c r="F46">
        <v>32.479999999999997</v>
      </c>
      <c r="G46">
        <v>1071.8399999999999</v>
      </c>
      <c r="H46">
        <v>43.847999999999999</v>
      </c>
      <c r="I46">
        <f>Table1[[#This Row],[CookiesShipped]]*Table1[[#This Row],[Selling Price]]</f>
        <v>1446.9839999999999</v>
      </c>
      <c r="J46">
        <v>33</v>
      </c>
      <c r="K46">
        <v>1446.9839999999999</v>
      </c>
      <c r="L46">
        <v>375.14400000000001</v>
      </c>
      <c r="M46">
        <v>0.2592592592592593</v>
      </c>
      <c r="N46" s="2">
        <v>45145</v>
      </c>
      <c r="O46" s="2" t="str">
        <f>TEXT(Table1[[#This Row],[OrderDate]],"dddd")</f>
        <v>Monday</v>
      </c>
      <c r="P46" s="2" t="str">
        <f>IF(AND(Table1[[#This Row],[OrderDate]]&gt;=DATE(2023,7,30),Table1[[#This Row],[OrderDate]]&lt;=DATE(2023,8,5)),"Week 1",
 IF(AND(Table1[[#This Row],[OrderDate]]&gt;=DATE(2023,8,6),Table1[[#This Row],[OrderDate]]&lt;=DATE(2023,8,12)),"Week 2",
 IF(AND(Table1[[#This Row],[OrderDate]]&gt;=DATE(2023,8,13),Table1[[#This Row],[OrderDate]]&lt;=DATE(2023,8,19)),"Week 3",
 IF(AND(Table1[[#This Row],[OrderDate]]&gt;=DATE(2023,8,20),Table1[[#This Row],[OrderDate]]&lt;=DATE(2023,8,26)),"Week 4","Week 5"))))</f>
        <v>Week 2</v>
      </c>
      <c r="Q46" s="2">
        <v>45152</v>
      </c>
      <c r="R46" s="2" t="str">
        <f>TEXT(Table1[[#This Row],[ShipDate]],"dddd")</f>
        <v>Monday</v>
      </c>
      <c r="S46" t="s">
        <v>24</v>
      </c>
      <c r="T46">
        <v>7</v>
      </c>
      <c r="U46" t="str">
        <f>IF(Table1[[#This Row],[DateDifference]]&lt;7,"Within Target","Outside Target")</f>
        <v>Outside Target</v>
      </c>
      <c r="V46" t="s">
        <v>39</v>
      </c>
    </row>
    <row r="47" spans="1:22" x14ac:dyDescent="0.3">
      <c r="A47">
        <v>166</v>
      </c>
      <c r="B47">
        <v>2</v>
      </c>
      <c r="C47" t="s">
        <v>27</v>
      </c>
      <c r="D47" t="s">
        <v>28</v>
      </c>
      <c r="E47" s="1">
        <v>0.35</v>
      </c>
      <c r="F47">
        <v>17.989999999999998</v>
      </c>
      <c r="G47">
        <v>1691.06</v>
      </c>
      <c r="H47">
        <v>24.2865</v>
      </c>
      <c r="I47">
        <f>Table1[[#This Row],[CookiesShipped]]*Table1[[#This Row],[Selling Price]]</f>
        <v>2282.931</v>
      </c>
      <c r="J47">
        <v>94</v>
      </c>
      <c r="K47">
        <v>2282.931</v>
      </c>
      <c r="L47">
        <v>591.87100000000009</v>
      </c>
      <c r="M47">
        <v>0.2592592592592593</v>
      </c>
      <c r="N47" s="2">
        <v>45148</v>
      </c>
      <c r="O47" s="2" t="str">
        <f>TEXT(Table1[[#This Row],[OrderDate]],"dddd")</f>
        <v>Thursday</v>
      </c>
      <c r="P47" s="2" t="str">
        <f>IF(AND(Table1[[#This Row],[OrderDate]]&gt;=DATE(2023,7,30),Table1[[#This Row],[OrderDate]]&lt;=DATE(2023,8,5)),"Week 1",
 IF(AND(Table1[[#This Row],[OrderDate]]&gt;=DATE(2023,8,6),Table1[[#This Row],[OrderDate]]&lt;=DATE(2023,8,12)),"Week 2",
 IF(AND(Table1[[#This Row],[OrderDate]]&gt;=DATE(2023,8,13),Table1[[#This Row],[OrderDate]]&lt;=DATE(2023,8,19)),"Week 3",
 IF(AND(Table1[[#This Row],[OrderDate]]&gt;=DATE(2023,8,20),Table1[[#This Row],[OrderDate]]&lt;=DATE(2023,8,26)),"Week 4","Week 5"))))</f>
        <v>Week 2</v>
      </c>
      <c r="Q47" s="2">
        <v>45160</v>
      </c>
      <c r="R47" s="2" t="str">
        <f>TEXT(Table1[[#This Row],[ShipDate]],"dddd")</f>
        <v>Tuesday</v>
      </c>
      <c r="S47" t="s">
        <v>24</v>
      </c>
      <c r="T47">
        <v>12</v>
      </c>
      <c r="U47" t="str">
        <f>IF(Table1[[#This Row],[DateDifference]]&lt;7,"Within Target","Outside Target")</f>
        <v>Outside Target</v>
      </c>
      <c r="V47" t="s">
        <v>29</v>
      </c>
    </row>
    <row r="48" spans="1:22" x14ac:dyDescent="0.3">
      <c r="A48">
        <v>167</v>
      </c>
      <c r="B48">
        <v>2</v>
      </c>
      <c r="C48" t="s">
        <v>27</v>
      </c>
      <c r="D48" t="s">
        <v>28</v>
      </c>
      <c r="E48" s="1">
        <v>0.35</v>
      </c>
      <c r="F48">
        <v>31.16</v>
      </c>
      <c r="G48">
        <v>716.68</v>
      </c>
      <c r="H48">
        <v>42.066000000000003</v>
      </c>
      <c r="I48">
        <f>Table1[[#This Row],[CookiesShipped]]*Table1[[#This Row],[Selling Price]]</f>
        <v>967.51800000000003</v>
      </c>
      <c r="J48">
        <v>23</v>
      </c>
      <c r="K48">
        <v>967.51800000000003</v>
      </c>
      <c r="L48">
        <v>250.83800000000008</v>
      </c>
      <c r="M48">
        <v>0.25925925925925936</v>
      </c>
      <c r="N48" s="2">
        <v>45147</v>
      </c>
      <c r="O48" s="2" t="str">
        <f>TEXT(Table1[[#This Row],[OrderDate]],"dddd")</f>
        <v>Wednesday</v>
      </c>
      <c r="P48" s="2" t="str">
        <f>IF(AND(Table1[[#This Row],[OrderDate]]&gt;=DATE(2023,7,30),Table1[[#This Row],[OrderDate]]&lt;=DATE(2023,8,5)),"Week 1",
 IF(AND(Table1[[#This Row],[OrderDate]]&gt;=DATE(2023,8,6),Table1[[#This Row],[OrderDate]]&lt;=DATE(2023,8,12)),"Week 2",
 IF(AND(Table1[[#This Row],[OrderDate]]&gt;=DATE(2023,8,13),Table1[[#This Row],[OrderDate]]&lt;=DATE(2023,8,19)),"Week 3",
 IF(AND(Table1[[#This Row],[OrderDate]]&gt;=DATE(2023,8,20),Table1[[#This Row],[OrderDate]]&lt;=DATE(2023,8,26)),"Week 4","Week 5"))))</f>
        <v>Week 2</v>
      </c>
      <c r="Q48" s="2">
        <v>45149</v>
      </c>
      <c r="R48" s="2" t="str">
        <f>TEXT(Table1[[#This Row],[ShipDate]],"dddd")</f>
        <v>Friday</v>
      </c>
      <c r="S48" t="s">
        <v>24</v>
      </c>
      <c r="T48">
        <v>2</v>
      </c>
      <c r="U48" t="str">
        <f>IF(Table1[[#This Row],[DateDifference]]&lt;7,"Within Target","Outside Target")</f>
        <v>Within Target</v>
      </c>
      <c r="V48" t="s">
        <v>26</v>
      </c>
    </row>
    <row r="49" spans="1:22" x14ac:dyDescent="0.3">
      <c r="A49">
        <v>169</v>
      </c>
      <c r="B49">
        <v>4</v>
      </c>
      <c r="C49" t="s">
        <v>36</v>
      </c>
      <c r="D49" t="s">
        <v>37</v>
      </c>
      <c r="E49" s="1">
        <v>0.35</v>
      </c>
      <c r="F49">
        <v>26.65</v>
      </c>
      <c r="G49">
        <v>1838.85</v>
      </c>
      <c r="H49">
        <v>35.977499999999999</v>
      </c>
      <c r="I49">
        <f>Table1[[#This Row],[CookiesShipped]]*Table1[[#This Row],[Selling Price]]</f>
        <v>2482.4474999999998</v>
      </c>
      <c r="J49">
        <v>69</v>
      </c>
      <c r="K49">
        <v>2482.4474999999998</v>
      </c>
      <c r="L49">
        <v>643.59749999999985</v>
      </c>
      <c r="M49">
        <v>0.25925925925925924</v>
      </c>
      <c r="N49" s="2">
        <v>45156</v>
      </c>
      <c r="O49" s="2" t="str">
        <f>TEXT(Table1[[#This Row],[OrderDate]],"dddd")</f>
        <v>Friday</v>
      </c>
      <c r="P49" s="2" t="str">
        <f>IF(AND(Table1[[#This Row],[OrderDate]]&gt;=DATE(2023,7,30),Table1[[#This Row],[OrderDate]]&lt;=DATE(2023,8,5)),"Week 1",
 IF(AND(Table1[[#This Row],[OrderDate]]&gt;=DATE(2023,8,6),Table1[[#This Row],[OrderDate]]&lt;=DATE(2023,8,12)),"Week 2",
 IF(AND(Table1[[#This Row],[OrderDate]]&gt;=DATE(2023,8,13),Table1[[#This Row],[OrderDate]]&lt;=DATE(2023,8,19)),"Week 3",
 IF(AND(Table1[[#This Row],[OrderDate]]&gt;=DATE(2023,8,20),Table1[[#This Row],[OrderDate]]&lt;=DATE(2023,8,26)),"Week 4","Week 5"))))</f>
        <v>Week 3</v>
      </c>
      <c r="Q49" s="2">
        <v>45159</v>
      </c>
      <c r="R49" s="2" t="str">
        <f>TEXT(Table1[[#This Row],[ShipDate]],"dddd")</f>
        <v>Monday</v>
      </c>
      <c r="S49" t="s">
        <v>24</v>
      </c>
      <c r="T49">
        <v>3</v>
      </c>
      <c r="U49" t="str">
        <f>IF(Table1[[#This Row],[DateDifference]]&lt;7,"Within Target","Outside Target")</f>
        <v>Within Target</v>
      </c>
      <c r="V49" t="s">
        <v>35</v>
      </c>
    </row>
    <row r="50" spans="1:22" x14ac:dyDescent="0.3">
      <c r="A50">
        <v>170</v>
      </c>
      <c r="B50">
        <v>2</v>
      </c>
      <c r="C50" t="s">
        <v>27</v>
      </c>
      <c r="D50" t="s">
        <v>28</v>
      </c>
      <c r="E50" s="1">
        <v>0.35</v>
      </c>
      <c r="F50">
        <v>28.97</v>
      </c>
      <c r="G50">
        <v>2897</v>
      </c>
      <c r="H50">
        <v>39.109500000000004</v>
      </c>
      <c r="I50">
        <f>Table1[[#This Row],[CookiesShipped]]*Table1[[#This Row],[Selling Price]]</f>
        <v>3910.9500000000003</v>
      </c>
      <c r="J50">
        <v>100</v>
      </c>
      <c r="K50">
        <v>3910.9500000000003</v>
      </c>
      <c r="L50">
        <v>1013.9500000000003</v>
      </c>
      <c r="M50">
        <v>0.2592592592592593</v>
      </c>
      <c r="N50" s="2">
        <v>45141</v>
      </c>
      <c r="O50" s="2" t="str">
        <f>TEXT(Table1[[#This Row],[OrderDate]],"dddd")</f>
        <v>Thursday</v>
      </c>
      <c r="P50" s="2" t="str">
        <f>IF(AND(Table1[[#This Row],[OrderDate]]&gt;=DATE(2023,7,30),Table1[[#This Row],[OrderDate]]&lt;=DATE(2023,8,5)),"Week 1",
 IF(AND(Table1[[#This Row],[OrderDate]]&gt;=DATE(2023,8,6),Table1[[#This Row],[OrderDate]]&lt;=DATE(2023,8,12)),"Week 2",
 IF(AND(Table1[[#This Row],[OrderDate]]&gt;=DATE(2023,8,13),Table1[[#This Row],[OrderDate]]&lt;=DATE(2023,8,19)),"Week 3",
 IF(AND(Table1[[#This Row],[OrderDate]]&gt;=DATE(2023,8,20),Table1[[#This Row],[OrderDate]]&lt;=DATE(2023,8,26)),"Week 4","Week 5"))))</f>
        <v>Week 1</v>
      </c>
      <c r="Q50" s="2">
        <v>45164</v>
      </c>
      <c r="R50" s="2" t="str">
        <f>TEXT(Table1[[#This Row],[ShipDate]],"dddd")</f>
        <v>Saturday</v>
      </c>
      <c r="S50" t="s">
        <v>24</v>
      </c>
      <c r="T50">
        <v>23</v>
      </c>
      <c r="U50" t="str">
        <f>IF(Table1[[#This Row],[DateDifference]]&lt;7,"Within Target","Outside Target")</f>
        <v>Outside Target</v>
      </c>
      <c r="V50" t="s">
        <v>29</v>
      </c>
    </row>
    <row r="51" spans="1:22" x14ac:dyDescent="0.3">
      <c r="A51">
        <v>175</v>
      </c>
      <c r="B51">
        <v>2</v>
      </c>
      <c r="C51" t="s">
        <v>27</v>
      </c>
      <c r="D51" t="s">
        <v>28</v>
      </c>
      <c r="E51" s="1">
        <v>0.35</v>
      </c>
      <c r="F51">
        <v>49.55</v>
      </c>
      <c r="G51">
        <v>941.44999999999993</v>
      </c>
      <c r="H51">
        <v>66.892499999999998</v>
      </c>
      <c r="I51">
        <f>Table1[[#This Row],[CookiesShipped]]*Table1[[#This Row],[Selling Price]]</f>
        <v>1270.9575</v>
      </c>
      <c r="J51">
        <v>19</v>
      </c>
      <c r="K51">
        <v>1270.9575</v>
      </c>
      <c r="L51">
        <v>329.50750000000005</v>
      </c>
      <c r="M51">
        <v>0.2592592592592593</v>
      </c>
      <c r="N51" s="2">
        <v>45146</v>
      </c>
      <c r="O51" s="2" t="str">
        <f>TEXT(Table1[[#This Row],[OrderDate]],"dddd")</f>
        <v>Tuesday</v>
      </c>
      <c r="P51" s="2" t="str">
        <f>IF(AND(Table1[[#This Row],[OrderDate]]&gt;=DATE(2023,7,30),Table1[[#This Row],[OrderDate]]&lt;=DATE(2023,8,5)),"Week 1",
 IF(AND(Table1[[#This Row],[OrderDate]]&gt;=DATE(2023,8,6),Table1[[#This Row],[OrderDate]]&lt;=DATE(2023,8,12)),"Week 2",
 IF(AND(Table1[[#This Row],[OrderDate]]&gt;=DATE(2023,8,13),Table1[[#This Row],[OrderDate]]&lt;=DATE(2023,8,19)),"Week 3",
 IF(AND(Table1[[#This Row],[OrderDate]]&gt;=DATE(2023,8,20),Table1[[#This Row],[OrderDate]]&lt;=DATE(2023,8,26)),"Week 4","Week 5"))))</f>
        <v>Week 2</v>
      </c>
      <c r="Q51" s="2">
        <v>45146</v>
      </c>
      <c r="R51" s="2" t="str">
        <f>TEXT(Table1[[#This Row],[ShipDate]],"dddd")</f>
        <v>Tuesday</v>
      </c>
      <c r="S51" t="s">
        <v>24</v>
      </c>
      <c r="T51">
        <v>0</v>
      </c>
      <c r="U51" t="str">
        <f>IF(Table1[[#This Row],[DateDifference]]&lt;7,"Within Target","Outside Target")</f>
        <v>Within Target</v>
      </c>
      <c r="V51" t="s">
        <v>32</v>
      </c>
    </row>
    <row r="52" spans="1:22" x14ac:dyDescent="0.3">
      <c r="A52">
        <v>176</v>
      </c>
      <c r="B52">
        <v>1</v>
      </c>
      <c r="C52" t="s">
        <v>22</v>
      </c>
      <c r="D52" t="s">
        <v>23</v>
      </c>
      <c r="E52" s="1">
        <v>0.35</v>
      </c>
      <c r="F52">
        <v>19.510000000000002</v>
      </c>
      <c r="G52">
        <v>1131.5800000000002</v>
      </c>
      <c r="H52">
        <v>26.338500000000003</v>
      </c>
      <c r="I52">
        <f>Table1[[#This Row],[CookiesShipped]]*Table1[[#This Row],[Selling Price]]</f>
        <v>1527.6330000000003</v>
      </c>
      <c r="J52">
        <v>58</v>
      </c>
      <c r="K52">
        <v>1527.6330000000003</v>
      </c>
      <c r="L52">
        <v>396.05300000000011</v>
      </c>
      <c r="M52">
        <v>0.2592592592592593</v>
      </c>
      <c r="N52" s="2">
        <v>45153</v>
      </c>
      <c r="O52" s="2" t="str">
        <f>TEXT(Table1[[#This Row],[OrderDate]],"dddd")</f>
        <v>Tuesday</v>
      </c>
      <c r="P52" s="2" t="str">
        <f>IF(AND(Table1[[#This Row],[OrderDate]]&gt;=DATE(2023,7,30),Table1[[#This Row],[OrderDate]]&lt;=DATE(2023,8,5)),"Week 1",
 IF(AND(Table1[[#This Row],[OrderDate]]&gt;=DATE(2023,8,6),Table1[[#This Row],[OrderDate]]&lt;=DATE(2023,8,12)),"Week 2",
 IF(AND(Table1[[#This Row],[OrderDate]]&gt;=DATE(2023,8,13),Table1[[#This Row],[OrderDate]]&lt;=DATE(2023,8,19)),"Week 3",
 IF(AND(Table1[[#This Row],[OrderDate]]&gt;=DATE(2023,8,20),Table1[[#This Row],[OrderDate]]&lt;=DATE(2023,8,26)),"Week 4","Week 5"))))</f>
        <v>Week 3</v>
      </c>
      <c r="Q52" s="2">
        <v>45153</v>
      </c>
      <c r="R52" s="2" t="str">
        <f>TEXT(Table1[[#This Row],[ShipDate]],"dddd")</f>
        <v>Tuesday</v>
      </c>
      <c r="S52" t="s">
        <v>24</v>
      </c>
      <c r="T52">
        <v>0</v>
      </c>
      <c r="U52" t="str">
        <f>IF(Table1[[#This Row],[DateDifference]]&lt;7,"Within Target","Outside Target")</f>
        <v>Within Target</v>
      </c>
      <c r="V52" t="s">
        <v>32</v>
      </c>
    </row>
    <row r="53" spans="1:22" x14ac:dyDescent="0.3">
      <c r="A53">
        <v>178</v>
      </c>
      <c r="B53">
        <v>5</v>
      </c>
      <c r="C53" t="s">
        <v>30</v>
      </c>
      <c r="D53" t="s">
        <v>31</v>
      </c>
      <c r="E53" s="1">
        <v>0.35</v>
      </c>
      <c r="F53">
        <v>16.46</v>
      </c>
      <c r="G53">
        <v>16.46</v>
      </c>
      <c r="H53">
        <v>22.221000000000004</v>
      </c>
      <c r="I53">
        <f>Table1[[#This Row],[CookiesShipped]]*Table1[[#This Row],[Selling Price]]</f>
        <v>22.221000000000004</v>
      </c>
      <c r="J53">
        <v>1</v>
      </c>
      <c r="K53">
        <v>22.221000000000004</v>
      </c>
      <c r="L53">
        <v>5.7610000000000028</v>
      </c>
      <c r="M53">
        <v>0.25925925925925936</v>
      </c>
      <c r="N53" s="2">
        <v>45147</v>
      </c>
      <c r="O53" s="2" t="str">
        <f>TEXT(Table1[[#This Row],[OrderDate]],"dddd")</f>
        <v>Wednesday</v>
      </c>
      <c r="P53" s="2" t="str">
        <f>IF(AND(Table1[[#This Row],[OrderDate]]&gt;=DATE(2023,7,30),Table1[[#This Row],[OrderDate]]&lt;=DATE(2023,8,5)),"Week 1",
 IF(AND(Table1[[#This Row],[OrderDate]]&gt;=DATE(2023,8,6),Table1[[#This Row],[OrderDate]]&lt;=DATE(2023,8,12)),"Week 2",
 IF(AND(Table1[[#This Row],[OrderDate]]&gt;=DATE(2023,8,13),Table1[[#This Row],[OrderDate]]&lt;=DATE(2023,8,19)),"Week 3",
 IF(AND(Table1[[#This Row],[OrderDate]]&gt;=DATE(2023,8,20),Table1[[#This Row],[OrderDate]]&lt;=DATE(2023,8,26)),"Week 4","Week 5"))))</f>
        <v>Week 2</v>
      </c>
      <c r="Q53" s="2">
        <v>45170</v>
      </c>
      <c r="R53" s="2" t="str">
        <f>TEXT(Table1[[#This Row],[ShipDate]],"dddd")</f>
        <v>Friday</v>
      </c>
      <c r="S53" t="s">
        <v>24</v>
      </c>
      <c r="T53">
        <v>23</v>
      </c>
      <c r="U53" t="str">
        <f>IF(Table1[[#This Row],[DateDifference]]&lt;7,"Within Target","Outside Target")</f>
        <v>Outside Target</v>
      </c>
      <c r="V53" t="s">
        <v>26</v>
      </c>
    </row>
    <row r="54" spans="1:22" x14ac:dyDescent="0.3">
      <c r="A54">
        <v>179</v>
      </c>
      <c r="B54">
        <v>5</v>
      </c>
      <c r="C54" t="s">
        <v>30</v>
      </c>
      <c r="D54" t="s">
        <v>31</v>
      </c>
      <c r="E54" s="1">
        <v>0.35</v>
      </c>
      <c r="F54">
        <v>35.67</v>
      </c>
      <c r="G54">
        <v>2461.23</v>
      </c>
      <c r="H54">
        <v>48.154500000000006</v>
      </c>
      <c r="I54">
        <f>Table1[[#This Row],[CookiesShipped]]*Table1[[#This Row],[Selling Price]]</f>
        <v>3322.6605000000004</v>
      </c>
      <c r="J54">
        <v>69</v>
      </c>
      <c r="K54">
        <v>3322.6605000000004</v>
      </c>
      <c r="L54">
        <v>861.43050000000039</v>
      </c>
      <c r="M54">
        <v>0.25925925925925936</v>
      </c>
      <c r="N54" s="2">
        <v>45159</v>
      </c>
      <c r="O54" s="2" t="str">
        <f>TEXT(Table1[[#This Row],[OrderDate]],"dddd")</f>
        <v>Monday</v>
      </c>
      <c r="P54" s="2" t="str">
        <f>IF(AND(Table1[[#This Row],[OrderDate]]&gt;=DATE(2023,7,30),Table1[[#This Row],[OrderDate]]&lt;=DATE(2023,8,5)),"Week 1",
 IF(AND(Table1[[#This Row],[OrderDate]]&gt;=DATE(2023,8,6),Table1[[#This Row],[OrderDate]]&lt;=DATE(2023,8,12)),"Week 2",
 IF(AND(Table1[[#This Row],[OrderDate]]&gt;=DATE(2023,8,13),Table1[[#This Row],[OrderDate]]&lt;=DATE(2023,8,19)),"Week 3",
 IF(AND(Table1[[#This Row],[OrderDate]]&gt;=DATE(2023,8,20),Table1[[#This Row],[OrderDate]]&lt;=DATE(2023,8,26)),"Week 4","Week 5"))))</f>
        <v>Week 4</v>
      </c>
      <c r="Q54" s="2">
        <v>45164</v>
      </c>
      <c r="R54" s="2" t="str">
        <f>TEXT(Table1[[#This Row],[ShipDate]],"dddd")</f>
        <v>Saturday</v>
      </c>
      <c r="S54" t="s">
        <v>24</v>
      </c>
      <c r="T54">
        <v>5</v>
      </c>
      <c r="U54" t="str">
        <f>IF(Table1[[#This Row],[DateDifference]]&lt;7,"Within Target","Outside Target")</f>
        <v>Within Target</v>
      </c>
      <c r="V54" t="s">
        <v>39</v>
      </c>
    </row>
    <row r="55" spans="1:22" x14ac:dyDescent="0.3">
      <c r="A55">
        <v>181</v>
      </c>
      <c r="B55">
        <v>1</v>
      </c>
      <c r="C55" t="s">
        <v>22</v>
      </c>
      <c r="D55" t="s">
        <v>23</v>
      </c>
      <c r="E55" s="1">
        <v>0.35</v>
      </c>
      <c r="F55">
        <v>31.8</v>
      </c>
      <c r="G55">
        <v>508.8</v>
      </c>
      <c r="H55">
        <v>42.930000000000007</v>
      </c>
      <c r="I55">
        <f>Table1[[#This Row],[CookiesShipped]]*Table1[[#This Row],[Selling Price]]</f>
        <v>686.88000000000011</v>
      </c>
      <c r="J55">
        <v>16</v>
      </c>
      <c r="K55">
        <v>686.88000000000011</v>
      </c>
      <c r="L55">
        <v>178.0800000000001</v>
      </c>
      <c r="M55">
        <v>0.25925925925925936</v>
      </c>
      <c r="N55" s="2">
        <v>45153</v>
      </c>
      <c r="O55" s="2" t="str">
        <f>TEXT(Table1[[#This Row],[OrderDate]],"dddd")</f>
        <v>Tuesday</v>
      </c>
      <c r="P55" s="2" t="str">
        <f>IF(AND(Table1[[#This Row],[OrderDate]]&gt;=DATE(2023,7,30),Table1[[#This Row],[OrderDate]]&lt;=DATE(2023,8,5)),"Week 1",
 IF(AND(Table1[[#This Row],[OrderDate]]&gt;=DATE(2023,8,6),Table1[[#This Row],[OrderDate]]&lt;=DATE(2023,8,12)),"Week 2",
 IF(AND(Table1[[#This Row],[OrderDate]]&gt;=DATE(2023,8,13),Table1[[#This Row],[OrderDate]]&lt;=DATE(2023,8,19)),"Week 3",
 IF(AND(Table1[[#This Row],[OrderDate]]&gt;=DATE(2023,8,20),Table1[[#This Row],[OrderDate]]&lt;=DATE(2023,8,26)),"Week 4","Week 5"))))</f>
        <v>Week 3</v>
      </c>
      <c r="Q55" s="2">
        <v>45163</v>
      </c>
      <c r="R55" s="2" t="str">
        <f>TEXT(Table1[[#This Row],[ShipDate]],"dddd")</f>
        <v>Friday</v>
      </c>
      <c r="S55" t="s">
        <v>24</v>
      </c>
      <c r="T55">
        <v>10</v>
      </c>
      <c r="U55" t="str">
        <f>IF(Table1[[#This Row],[DateDifference]]&lt;7,"Within Target","Outside Target")</f>
        <v>Outside Target</v>
      </c>
      <c r="V55" t="s">
        <v>32</v>
      </c>
    </row>
    <row r="56" spans="1:22" x14ac:dyDescent="0.3">
      <c r="A56">
        <v>182</v>
      </c>
      <c r="B56">
        <v>1</v>
      </c>
      <c r="C56" t="s">
        <v>22</v>
      </c>
      <c r="D56" t="s">
        <v>23</v>
      </c>
      <c r="E56" s="1">
        <v>0.35</v>
      </c>
      <c r="F56">
        <v>26.22</v>
      </c>
      <c r="G56">
        <v>629.28</v>
      </c>
      <c r="H56">
        <v>35.396999999999998</v>
      </c>
      <c r="I56">
        <f>Table1[[#This Row],[CookiesShipped]]*Table1[[#This Row],[Selling Price]]</f>
        <v>849.52800000000002</v>
      </c>
      <c r="J56">
        <v>24</v>
      </c>
      <c r="K56">
        <v>849.52800000000002</v>
      </c>
      <c r="L56">
        <v>220.24800000000005</v>
      </c>
      <c r="M56">
        <v>0.2592592592592593</v>
      </c>
      <c r="N56" s="2">
        <v>45140</v>
      </c>
      <c r="O56" s="2" t="str">
        <f>TEXT(Table1[[#This Row],[OrderDate]],"dddd")</f>
        <v>Wednesday</v>
      </c>
      <c r="P56" s="2" t="str">
        <f>IF(AND(Table1[[#This Row],[OrderDate]]&gt;=DATE(2023,7,30),Table1[[#This Row],[OrderDate]]&lt;=DATE(2023,8,5)),"Week 1",
 IF(AND(Table1[[#This Row],[OrderDate]]&gt;=DATE(2023,8,6),Table1[[#This Row],[OrderDate]]&lt;=DATE(2023,8,12)),"Week 2",
 IF(AND(Table1[[#This Row],[OrderDate]]&gt;=DATE(2023,8,13),Table1[[#This Row],[OrderDate]]&lt;=DATE(2023,8,19)),"Week 3",
 IF(AND(Table1[[#This Row],[OrderDate]]&gt;=DATE(2023,8,20),Table1[[#This Row],[OrderDate]]&lt;=DATE(2023,8,26)),"Week 4","Week 5"))))</f>
        <v>Week 1</v>
      </c>
      <c r="Q56" s="2">
        <v>45148</v>
      </c>
      <c r="R56" s="2" t="str">
        <f>TEXT(Table1[[#This Row],[ShipDate]],"dddd")</f>
        <v>Thursday</v>
      </c>
      <c r="S56" t="s">
        <v>24</v>
      </c>
      <c r="T56">
        <v>8</v>
      </c>
      <c r="U56" t="str">
        <f>IF(Table1[[#This Row],[DateDifference]]&lt;7,"Within Target","Outside Target")</f>
        <v>Outside Target</v>
      </c>
      <c r="V56" t="s">
        <v>26</v>
      </c>
    </row>
    <row r="57" spans="1:22" x14ac:dyDescent="0.3">
      <c r="A57">
        <v>183</v>
      </c>
      <c r="B57">
        <v>3</v>
      </c>
      <c r="C57" t="s">
        <v>33</v>
      </c>
      <c r="D57" t="s">
        <v>34</v>
      </c>
      <c r="E57" s="1">
        <v>0.35</v>
      </c>
      <c r="F57">
        <v>23.53</v>
      </c>
      <c r="G57">
        <v>1882.4</v>
      </c>
      <c r="H57">
        <v>31.765500000000003</v>
      </c>
      <c r="I57">
        <f>Table1[[#This Row],[CookiesShipped]]*Table1[[#This Row],[Selling Price]]</f>
        <v>2541.2400000000002</v>
      </c>
      <c r="J57">
        <v>80</v>
      </c>
      <c r="K57">
        <v>2541.2400000000002</v>
      </c>
      <c r="L57">
        <v>658.84000000000015</v>
      </c>
      <c r="M57">
        <v>0.2592592592592593</v>
      </c>
      <c r="N57" s="2">
        <v>45146</v>
      </c>
      <c r="O57" s="2" t="str">
        <f>TEXT(Table1[[#This Row],[OrderDate]],"dddd")</f>
        <v>Tuesday</v>
      </c>
      <c r="P57" s="2" t="str">
        <f>IF(AND(Table1[[#This Row],[OrderDate]]&gt;=DATE(2023,7,30),Table1[[#This Row],[OrderDate]]&lt;=DATE(2023,8,5)),"Week 1",
 IF(AND(Table1[[#This Row],[OrderDate]]&gt;=DATE(2023,8,6),Table1[[#This Row],[OrderDate]]&lt;=DATE(2023,8,12)),"Week 2",
 IF(AND(Table1[[#This Row],[OrderDate]]&gt;=DATE(2023,8,13),Table1[[#This Row],[OrderDate]]&lt;=DATE(2023,8,19)),"Week 3",
 IF(AND(Table1[[#This Row],[OrderDate]]&gt;=DATE(2023,8,20),Table1[[#This Row],[OrderDate]]&lt;=DATE(2023,8,26)),"Week 4","Week 5"))))</f>
        <v>Week 2</v>
      </c>
      <c r="Q57" s="2">
        <v>45148</v>
      </c>
      <c r="R57" s="2" t="str">
        <f>TEXT(Table1[[#This Row],[ShipDate]],"dddd")</f>
        <v>Thursday</v>
      </c>
      <c r="S57" t="s">
        <v>24</v>
      </c>
      <c r="T57">
        <v>2</v>
      </c>
      <c r="U57" t="str">
        <f>IF(Table1[[#This Row],[DateDifference]]&lt;7,"Within Target","Outside Target")</f>
        <v>Within Target</v>
      </c>
      <c r="V57" t="s">
        <v>32</v>
      </c>
    </row>
    <row r="58" spans="1:22" x14ac:dyDescent="0.3">
      <c r="A58">
        <v>184</v>
      </c>
      <c r="B58">
        <v>3</v>
      </c>
      <c r="C58" t="s">
        <v>33</v>
      </c>
      <c r="D58" t="s">
        <v>34</v>
      </c>
      <c r="E58" s="1">
        <v>0.35</v>
      </c>
      <c r="F58">
        <v>20.7</v>
      </c>
      <c r="G58">
        <v>41.4</v>
      </c>
      <c r="H58">
        <v>27.945</v>
      </c>
      <c r="I58">
        <f>Table1[[#This Row],[CookiesShipped]]*Table1[[#This Row],[Selling Price]]</f>
        <v>55.89</v>
      </c>
      <c r="J58">
        <v>2</v>
      </c>
      <c r="K58">
        <v>55.89</v>
      </c>
      <c r="L58">
        <v>14.490000000000002</v>
      </c>
      <c r="M58">
        <v>0.2592592592592593</v>
      </c>
      <c r="N58" s="2">
        <v>45140</v>
      </c>
      <c r="O58" s="2" t="str">
        <f>TEXT(Table1[[#This Row],[OrderDate]],"dddd")</f>
        <v>Wednesday</v>
      </c>
      <c r="P58" s="2" t="str">
        <f>IF(AND(Table1[[#This Row],[OrderDate]]&gt;=DATE(2023,7,30),Table1[[#This Row],[OrderDate]]&lt;=DATE(2023,8,5)),"Week 1",
 IF(AND(Table1[[#This Row],[OrderDate]]&gt;=DATE(2023,8,6),Table1[[#This Row],[OrderDate]]&lt;=DATE(2023,8,12)),"Week 2",
 IF(AND(Table1[[#This Row],[OrderDate]]&gt;=DATE(2023,8,13),Table1[[#This Row],[OrderDate]]&lt;=DATE(2023,8,19)),"Week 3",
 IF(AND(Table1[[#This Row],[OrderDate]]&gt;=DATE(2023,8,20),Table1[[#This Row],[OrderDate]]&lt;=DATE(2023,8,26)),"Week 4","Week 5"))))</f>
        <v>Week 1</v>
      </c>
      <c r="Q58" s="2">
        <v>45148</v>
      </c>
      <c r="R58" s="2" t="str">
        <f>TEXT(Table1[[#This Row],[ShipDate]],"dddd")</f>
        <v>Thursday</v>
      </c>
      <c r="S58" t="s">
        <v>24</v>
      </c>
      <c r="T58">
        <v>8</v>
      </c>
      <c r="U58" t="str">
        <f>IF(Table1[[#This Row],[DateDifference]]&lt;7,"Within Target","Outside Target")</f>
        <v>Outside Target</v>
      </c>
      <c r="V58" t="s">
        <v>26</v>
      </c>
    </row>
    <row r="59" spans="1:22" x14ac:dyDescent="0.3">
      <c r="A59">
        <v>185</v>
      </c>
      <c r="B59">
        <v>3</v>
      </c>
      <c r="C59" t="s">
        <v>33</v>
      </c>
      <c r="D59" t="s">
        <v>34</v>
      </c>
      <c r="E59" s="1">
        <v>0.35</v>
      </c>
      <c r="F59">
        <v>46.83</v>
      </c>
      <c r="G59">
        <v>4308.3599999999997</v>
      </c>
      <c r="H59">
        <v>63.220500000000001</v>
      </c>
      <c r="I59">
        <f>Table1[[#This Row],[CookiesShipped]]*Table1[[#This Row],[Selling Price]]</f>
        <v>5816.2860000000001</v>
      </c>
      <c r="J59">
        <v>92</v>
      </c>
      <c r="K59">
        <v>5816.2860000000001</v>
      </c>
      <c r="L59">
        <v>1507.9260000000004</v>
      </c>
      <c r="M59">
        <v>0.2592592592592593</v>
      </c>
      <c r="N59" s="2">
        <v>45141</v>
      </c>
      <c r="O59" s="2" t="str">
        <f>TEXT(Table1[[#This Row],[OrderDate]],"dddd")</f>
        <v>Thursday</v>
      </c>
      <c r="P59" s="2" t="str">
        <f>IF(AND(Table1[[#This Row],[OrderDate]]&gt;=DATE(2023,7,30),Table1[[#This Row],[OrderDate]]&lt;=DATE(2023,8,5)),"Week 1",
 IF(AND(Table1[[#This Row],[OrderDate]]&gt;=DATE(2023,8,6),Table1[[#This Row],[OrderDate]]&lt;=DATE(2023,8,12)),"Week 2",
 IF(AND(Table1[[#This Row],[OrderDate]]&gt;=DATE(2023,8,13),Table1[[#This Row],[OrderDate]]&lt;=DATE(2023,8,19)),"Week 3",
 IF(AND(Table1[[#This Row],[OrderDate]]&gt;=DATE(2023,8,20),Table1[[#This Row],[OrderDate]]&lt;=DATE(2023,8,26)),"Week 4","Week 5"))))</f>
        <v>Week 1</v>
      </c>
      <c r="Q59" s="2">
        <v>45151</v>
      </c>
      <c r="R59" s="2" t="str">
        <f>TEXT(Table1[[#This Row],[ShipDate]],"dddd")</f>
        <v>Sunday</v>
      </c>
      <c r="S59" t="s">
        <v>24</v>
      </c>
      <c r="T59">
        <v>10</v>
      </c>
      <c r="U59" t="str">
        <f>IF(Table1[[#This Row],[DateDifference]]&lt;7,"Within Target","Outside Target")</f>
        <v>Outside Target</v>
      </c>
      <c r="V59" t="s">
        <v>29</v>
      </c>
    </row>
    <row r="60" spans="1:22" x14ac:dyDescent="0.3">
      <c r="A60">
        <v>186</v>
      </c>
      <c r="B60">
        <v>4</v>
      </c>
      <c r="C60" t="s">
        <v>36</v>
      </c>
      <c r="D60" t="s">
        <v>37</v>
      </c>
      <c r="E60" s="1">
        <v>0.35</v>
      </c>
      <c r="F60">
        <v>42.38</v>
      </c>
      <c r="G60">
        <v>1356.16</v>
      </c>
      <c r="H60">
        <v>57.213000000000008</v>
      </c>
      <c r="I60">
        <f>Table1[[#This Row],[CookiesShipped]]*Table1[[#This Row],[Selling Price]]</f>
        <v>1830.8160000000003</v>
      </c>
      <c r="J60">
        <v>32</v>
      </c>
      <c r="K60">
        <v>1830.8160000000003</v>
      </c>
      <c r="L60">
        <v>474.65600000000018</v>
      </c>
      <c r="M60">
        <v>0.2592592592592593</v>
      </c>
      <c r="N60" s="2">
        <v>45141</v>
      </c>
      <c r="O60" s="2" t="str">
        <f>TEXT(Table1[[#This Row],[OrderDate]],"dddd")</f>
        <v>Thursday</v>
      </c>
      <c r="P60" s="2" t="str">
        <f>IF(AND(Table1[[#This Row],[OrderDate]]&gt;=DATE(2023,7,30),Table1[[#This Row],[OrderDate]]&lt;=DATE(2023,8,5)),"Week 1",
 IF(AND(Table1[[#This Row],[OrderDate]]&gt;=DATE(2023,8,6),Table1[[#This Row],[OrderDate]]&lt;=DATE(2023,8,12)),"Week 2",
 IF(AND(Table1[[#This Row],[OrderDate]]&gt;=DATE(2023,8,13),Table1[[#This Row],[OrderDate]]&lt;=DATE(2023,8,19)),"Week 3",
 IF(AND(Table1[[#This Row],[OrderDate]]&gt;=DATE(2023,8,20),Table1[[#This Row],[OrderDate]]&lt;=DATE(2023,8,26)),"Week 4","Week 5"))))</f>
        <v>Week 1</v>
      </c>
      <c r="Q60" s="2">
        <v>45162</v>
      </c>
      <c r="R60" s="2" t="str">
        <f>TEXT(Table1[[#This Row],[ShipDate]],"dddd")</f>
        <v>Thursday</v>
      </c>
      <c r="S60" t="s">
        <v>24</v>
      </c>
      <c r="T60">
        <v>21</v>
      </c>
      <c r="U60" t="str">
        <f>IF(Table1[[#This Row],[DateDifference]]&lt;7,"Within Target","Outside Target")</f>
        <v>Outside Target</v>
      </c>
      <c r="V60" t="s">
        <v>29</v>
      </c>
    </row>
    <row r="61" spans="1:22" x14ac:dyDescent="0.3">
      <c r="A61">
        <v>188</v>
      </c>
      <c r="B61">
        <v>4</v>
      </c>
      <c r="C61" t="s">
        <v>36</v>
      </c>
      <c r="D61" t="s">
        <v>37</v>
      </c>
      <c r="E61" s="1">
        <v>0.35</v>
      </c>
      <c r="F61">
        <v>10.59</v>
      </c>
      <c r="G61">
        <v>889.56</v>
      </c>
      <c r="H61">
        <v>14.2965</v>
      </c>
      <c r="I61">
        <f>Table1[[#This Row],[CookiesShipped]]*Table1[[#This Row],[Selling Price]]</f>
        <v>1200.9059999999999</v>
      </c>
      <c r="J61">
        <v>84</v>
      </c>
      <c r="K61">
        <v>1200.9059999999999</v>
      </c>
      <c r="L61">
        <v>311.346</v>
      </c>
      <c r="M61">
        <v>0.2592592592592593</v>
      </c>
      <c r="N61" s="2">
        <v>45157</v>
      </c>
      <c r="O61" s="2" t="str">
        <f>TEXT(Table1[[#This Row],[OrderDate]],"dddd")</f>
        <v>Saturday</v>
      </c>
      <c r="P61" s="2" t="str">
        <f>IF(AND(Table1[[#This Row],[OrderDate]]&gt;=DATE(2023,7,30),Table1[[#This Row],[OrderDate]]&lt;=DATE(2023,8,5)),"Week 1",
 IF(AND(Table1[[#This Row],[OrderDate]]&gt;=DATE(2023,8,6),Table1[[#This Row],[OrderDate]]&lt;=DATE(2023,8,12)),"Week 2",
 IF(AND(Table1[[#This Row],[OrderDate]]&gt;=DATE(2023,8,13),Table1[[#This Row],[OrderDate]]&lt;=DATE(2023,8,19)),"Week 3",
 IF(AND(Table1[[#This Row],[OrderDate]]&gt;=DATE(2023,8,20),Table1[[#This Row],[OrderDate]]&lt;=DATE(2023,8,26)),"Week 4","Week 5"))))</f>
        <v>Week 3</v>
      </c>
      <c r="Q61" s="2">
        <v>45161</v>
      </c>
      <c r="R61" s="2" t="str">
        <f>TEXT(Table1[[#This Row],[ShipDate]],"dddd")</f>
        <v>Wednesday</v>
      </c>
      <c r="S61" t="s">
        <v>24</v>
      </c>
      <c r="T61">
        <v>4</v>
      </c>
      <c r="U61" t="str">
        <f>IF(Table1[[#This Row],[DateDifference]]&lt;7,"Within Target","Outside Target")</f>
        <v>Within Target</v>
      </c>
      <c r="V61" t="s">
        <v>25</v>
      </c>
    </row>
    <row r="62" spans="1:22" x14ac:dyDescent="0.3">
      <c r="A62">
        <v>189</v>
      </c>
      <c r="B62">
        <v>3</v>
      </c>
      <c r="C62" t="s">
        <v>33</v>
      </c>
      <c r="D62" t="s">
        <v>34</v>
      </c>
      <c r="E62" s="1">
        <v>0.35</v>
      </c>
      <c r="F62">
        <v>37.89</v>
      </c>
      <c r="G62">
        <v>909.36</v>
      </c>
      <c r="H62">
        <v>51.151500000000006</v>
      </c>
      <c r="I62">
        <f>Table1[[#This Row],[CookiesShipped]]*Table1[[#This Row],[Selling Price]]</f>
        <v>1227.6360000000002</v>
      </c>
      <c r="J62">
        <v>24</v>
      </c>
      <c r="K62">
        <v>1227.6360000000002</v>
      </c>
      <c r="L62">
        <v>318.27600000000018</v>
      </c>
      <c r="M62">
        <v>0.25925925925925936</v>
      </c>
      <c r="N62" s="2">
        <v>45157</v>
      </c>
      <c r="O62" s="2" t="str">
        <f>TEXT(Table1[[#This Row],[OrderDate]],"dddd")</f>
        <v>Saturday</v>
      </c>
      <c r="P62" s="2" t="str">
        <f>IF(AND(Table1[[#This Row],[OrderDate]]&gt;=DATE(2023,7,30),Table1[[#This Row],[OrderDate]]&lt;=DATE(2023,8,5)),"Week 1",
 IF(AND(Table1[[#This Row],[OrderDate]]&gt;=DATE(2023,8,6),Table1[[#This Row],[OrderDate]]&lt;=DATE(2023,8,12)),"Week 2",
 IF(AND(Table1[[#This Row],[OrderDate]]&gt;=DATE(2023,8,13),Table1[[#This Row],[OrderDate]]&lt;=DATE(2023,8,19)),"Week 3",
 IF(AND(Table1[[#This Row],[OrderDate]]&gt;=DATE(2023,8,20),Table1[[#This Row],[OrderDate]]&lt;=DATE(2023,8,26)),"Week 4","Week 5"))))</f>
        <v>Week 3</v>
      </c>
      <c r="Q62" s="2">
        <v>45159</v>
      </c>
      <c r="R62" s="2" t="str">
        <f>TEXT(Table1[[#This Row],[ShipDate]],"dddd")</f>
        <v>Monday</v>
      </c>
      <c r="S62" t="s">
        <v>24</v>
      </c>
      <c r="T62">
        <v>2</v>
      </c>
      <c r="U62" t="str">
        <f>IF(Table1[[#This Row],[DateDifference]]&lt;7,"Within Target","Outside Target")</f>
        <v>Within Target</v>
      </c>
      <c r="V62" t="s">
        <v>25</v>
      </c>
    </row>
    <row r="63" spans="1:22" x14ac:dyDescent="0.3">
      <c r="A63">
        <v>194</v>
      </c>
      <c r="B63">
        <v>1</v>
      </c>
      <c r="C63" t="s">
        <v>22</v>
      </c>
      <c r="D63" t="s">
        <v>23</v>
      </c>
      <c r="E63" s="1">
        <v>0.35</v>
      </c>
      <c r="F63">
        <v>30.85</v>
      </c>
      <c r="G63">
        <v>1018.0500000000001</v>
      </c>
      <c r="H63">
        <v>41.647500000000008</v>
      </c>
      <c r="I63">
        <f>Table1[[#This Row],[CookiesShipped]]*Table1[[#This Row],[Selling Price]]</f>
        <v>1374.3675000000003</v>
      </c>
      <c r="J63">
        <v>33</v>
      </c>
      <c r="K63">
        <v>1374.3675000000003</v>
      </c>
      <c r="L63">
        <v>356.31750000000022</v>
      </c>
      <c r="M63">
        <v>0.25925925925925936</v>
      </c>
      <c r="N63" s="2">
        <v>45147</v>
      </c>
      <c r="O63" s="2" t="str">
        <f>TEXT(Table1[[#This Row],[OrderDate]],"dddd")</f>
        <v>Wednesday</v>
      </c>
      <c r="P63" s="2" t="str">
        <f>IF(AND(Table1[[#This Row],[OrderDate]]&gt;=DATE(2023,7,30),Table1[[#This Row],[OrderDate]]&lt;=DATE(2023,8,5)),"Week 1",
 IF(AND(Table1[[#This Row],[OrderDate]]&gt;=DATE(2023,8,6),Table1[[#This Row],[OrderDate]]&lt;=DATE(2023,8,12)),"Week 2",
 IF(AND(Table1[[#This Row],[OrderDate]]&gt;=DATE(2023,8,13),Table1[[#This Row],[OrderDate]]&lt;=DATE(2023,8,19)),"Week 3",
 IF(AND(Table1[[#This Row],[OrderDate]]&gt;=DATE(2023,8,20),Table1[[#This Row],[OrderDate]]&lt;=DATE(2023,8,26)),"Week 4","Week 5"))))</f>
        <v>Week 2</v>
      </c>
      <c r="Q63" s="2">
        <v>45165</v>
      </c>
      <c r="R63" s="2" t="str">
        <f>TEXT(Table1[[#This Row],[ShipDate]],"dddd")</f>
        <v>Sunday</v>
      </c>
      <c r="S63" t="s">
        <v>24</v>
      </c>
      <c r="T63">
        <v>18</v>
      </c>
      <c r="U63" t="str">
        <f>IF(Table1[[#This Row],[DateDifference]]&lt;7,"Within Target","Outside Target")</f>
        <v>Outside Target</v>
      </c>
      <c r="V63" t="s">
        <v>26</v>
      </c>
    </row>
    <row r="64" spans="1:22" x14ac:dyDescent="0.3">
      <c r="A64">
        <v>195</v>
      </c>
      <c r="B64">
        <v>3</v>
      </c>
      <c r="C64" t="s">
        <v>33</v>
      </c>
      <c r="D64" t="s">
        <v>34</v>
      </c>
      <c r="E64" s="1">
        <v>0.35</v>
      </c>
      <c r="F64">
        <v>42.88</v>
      </c>
      <c r="G64">
        <v>2615.6800000000003</v>
      </c>
      <c r="H64">
        <v>57.888000000000005</v>
      </c>
      <c r="I64">
        <f>Table1[[#This Row],[CookiesShipped]]*Table1[[#This Row],[Selling Price]]</f>
        <v>3531.1680000000001</v>
      </c>
      <c r="J64">
        <v>61</v>
      </c>
      <c r="K64">
        <v>3531.1680000000001</v>
      </c>
      <c r="L64">
        <v>915.48799999999983</v>
      </c>
      <c r="M64">
        <v>0.25925925925925919</v>
      </c>
      <c r="N64" s="2">
        <v>45143</v>
      </c>
      <c r="O64" s="2" t="str">
        <f>TEXT(Table1[[#This Row],[OrderDate]],"dddd")</f>
        <v>Saturday</v>
      </c>
      <c r="P64" s="2" t="str">
        <f>IF(AND(Table1[[#This Row],[OrderDate]]&gt;=DATE(2023,7,30),Table1[[#This Row],[OrderDate]]&lt;=DATE(2023,8,5)),"Week 1",
 IF(AND(Table1[[#This Row],[OrderDate]]&gt;=DATE(2023,8,6),Table1[[#This Row],[OrderDate]]&lt;=DATE(2023,8,12)),"Week 2",
 IF(AND(Table1[[#This Row],[OrderDate]]&gt;=DATE(2023,8,13),Table1[[#This Row],[OrderDate]]&lt;=DATE(2023,8,19)),"Week 3",
 IF(AND(Table1[[#This Row],[OrderDate]]&gt;=DATE(2023,8,20),Table1[[#This Row],[OrderDate]]&lt;=DATE(2023,8,26)),"Week 4","Week 5"))))</f>
        <v>Week 1</v>
      </c>
      <c r="Q64" s="2">
        <v>45152</v>
      </c>
      <c r="R64" s="2" t="str">
        <f>TEXT(Table1[[#This Row],[ShipDate]],"dddd")</f>
        <v>Monday</v>
      </c>
      <c r="S64" t="s">
        <v>24</v>
      </c>
      <c r="T64">
        <v>9</v>
      </c>
      <c r="U64" t="str">
        <f>IF(Table1[[#This Row],[DateDifference]]&lt;7,"Within Target","Outside Target")</f>
        <v>Outside Target</v>
      </c>
      <c r="V64" t="s">
        <v>25</v>
      </c>
    </row>
    <row r="65" spans="1:22" x14ac:dyDescent="0.3">
      <c r="A65">
        <v>196</v>
      </c>
      <c r="B65">
        <v>1</v>
      </c>
      <c r="C65" t="s">
        <v>22</v>
      </c>
      <c r="D65" t="s">
        <v>23</v>
      </c>
      <c r="E65" s="1">
        <v>0.35</v>
      </c>
      <c r="F65">
        <v>11.29</v>
      </c>
      <c r="G65">
        <v>575.79</v>
      </c>
      <c r="H65">
        <v>15.2415</v>
      </c>
      <c r="I65">
        <f>Table1[[#This Row],[CookiesShipped]]*Table1[[#This Row],[Selling Price]]</f>
        <v>777.31650000000002</v>
      </c>
      <c r="J65">
        <v>51</v>
      </c>
      <c r="K65">
        <v>777.31650000000002</v>
      </c>
      <c r="L65">
        <v>201.52650000000006</v>
      </c>
      <c r="M65">
        <v>0.2592592592592593</v>
      </c>
      <c r="N65" s="2">
        <v>45146</v>
      </c>
      <c r="O65" s="2" t="str">
        <f>TEXT(Table1[[#This Row],[OrderDate]],"dddd")</f>
        <v>Tuesday</v>
      </c>
      <c r="P65" s="2" t="str">
        <f>IF(AND(Table1[[#This Row],[OrderDate]]&gt;=DATE(2023,7,30),Table1[[#This Row],[OrderDate]]&lt;=DATE(2023,8,5)),"Week 1",
 IF(AND(Table1[[#This Row],[OrderDate]]&gt;=DATE(2023,8,6),Table1[[#This Row],[OrderDate]]&lt;=DATE(2023,8,12)),"Week 2",
 IF(AND(Table1[[#This Row],[OrderDate]]&gt;=DATE(2023,8,13),Table1[[#This Row],[OrderDate]]&lt;=DATE(2023,8,19)),"Week 3",
 IF(AND(Table1[[#This Row],[OrderDate]]&gt;=DATE(2023,8,20),Table1[[#This Row],[OrderDate]]&lt;=DATE(2023,8,26)),"Week 4","Week 5"))))</f>
        <v>Week 2</v>
      </c>
      <c r="Q65" s="2">
        <v>45162</v>
      </c>
      <c r="R65" s="2" t="str">
        <f>TEXT(Table1[[#This Row],[ShipDate]],"dddd")</f>
        <v>Thursday</v>
      </c>
      <c r="S65" t="s">
        <v>24</v>
      </c>
      <c r="T65">
        <v>16</v>
      </c>
      <c r="U65" t="str">
        <f>IF(Table1[[#This Row],[DateDifference]]&lt;7,"Within Target","Outside Target")</f>
        <v>Outside Target</v>
      </c>
      <c r="V65" t="s">
        <v>32</v>
      </c>
    </row>
    <row r="66" spans="1:22" x14ac:dyDescent="0.3">
      <c r="A66">
        <v>197</v>
      </c>
      <c r="B66">
        <v>5</v>
      </c>
      <c r="C66" t="s">
        <v>30</v>
      </c>
      <c r="D66" t="s">
        <v>31</v>
      </c>
      <c r="E66" s="1">
        <v>0.35</v>
      </c>
      <c r="F66">
        <v>40.79</v>
      </c>
      <c r="G66">
        <v>1753.97</v>
      </c>
      <c r="H66">
        <v>55.066500000000005</v>
      </c>
      <c r="I66">
        <f>Table1[[#This Row],[CookiesShipped]]*Table1[[#This Row],[Selling Price]]</f>
        <v>2367.8595</v>
      </c>
      <c r="J66">
        <v>43</v>
      </c>
      <c r="K66">
        <v>2367.8595</v>
      </c>
      <c r="L66">
        <v>613.8895</v>
      </c>
      <c r="M66">
        <v>0.25925925925925924</v>
      </c>
      <c r="N66" s="2">
        <v>45155</v>
      </c>
      <c r="O66" s="2" t="str">
        <f>TEXT(Table1[[#This Row],[OrderDate]],"dddd")</f>
        <v>Thursday</v>
      </c>
      <c r="P66" s="2" t="str">
        <f>IF(AND(Table1[[#This Row],[OrderDate]]&gt;=DATE(2023,7,30),Table1[[#This Row],[OrderDate]]&lt;=DATE(2023,8,5)),"Week 1",
 IF(AND(Table1[[#This Row],[OrderDate]]&gt;=DATE(2023,8,6),Table1[[#This Row],[OrderDate]]&lt;=DATE(2023,8,12)),"Week 2",
 IF(AND(Table1[[#This Row],[OrderDate]]&gt;=DATE(2023,8,13),Table1[[#This Row],[OrderDate]]&lt;=DATE(2023,8,19)),"Week 3",
 IF(AND(Table1[[#This Row],[OrderDate]]&gt;=DATE(2023,8,20),Table1[[#This Row],[OrderDate]]&lt;=DATE(2023,8,26)),"Week 4","Week 5"))))</f>
        <v>Week 3</v>
      </c>
      <c r="Q66" s="2">
        <v>45156</v>
      </c>
      <c r="R66" s="2" t="str">
        <f>TEXT(Table1[[#This Row],[ShipDate]],"dddd")</f>
        <v>Friday</v>
      </c>
      <c r="S66" t="s">
        <v>24</v>
      </c>
      <c r="T66">
        <v>1</v>
      </c>
      <c r="U66" t="str">
        <f>IF(Table1[[#This Row],[DateDifference]]&lt;7,"Within Target","Outside Target")</f>
        <v>Within Target</v>
      </c>
      <c r="V66" t="s">
        <v>29</v>
      </c>
    </row>
    <row r="67" spans="1:22" x14ac:dyDescent="0.3">
      <c r="A67">
        <v>198</v>
      </c>
      <c r="B67">
        <v>2</v>
      </c>
      <c r="C67" t="s">
        <v>27</v>
      </c>
      <c r="D67" t="s">
        <v>28</v>
      </c>
      <c r="E67" s="1">
        <v>0.35</v>
      </c>
      <c r="F67">
        <v>14.07</v>
      </c>
      <c r="G67">
        <v>168.84</v>
      </c>
      <c r="H67">
        <v>18.994500000000002</v>
      </c>
      <c r="I67">
        <f>Table1[[#This Row],[CookiesShipped]]*Table1[[#This Row],[Selling Price]]</f>
        <v>227.93400000000003</v>
      </c>
      <c r="J67">
        <v>12</v>
      </c>
      <c r="K67">
        <v>227.93400000000003</v>
      </c>
      <c r="L67">
        <v>59.094000000000023</v>
      </c>
      <c r="M67">
        <v>0.25925925925925936</v>
      </c>
      <c r="N67" s="2">
        <v>45147</v>
      </c>
      <c r="O67" s="2" t="str">
        <f>TEXT(Table1[[#This Row],[OrderDate]],"dddd")</f>
        <v>Wednesday</v>
      </c>
      <c r="P67" s="2" t="str">
        <f>IF(AND(Table1[[#This Row],[OrderDate]]&gt;=DATE(2023,7,30),Table1[[#This Row],[OrderDate]]&lt;=DATE(2023,8,5)),"Week 1",
 IF(AND(Table1[[#This Row],[OrderDate]]&gt;=DATE(2023,8,6),Table1[[#This Row],[OrderDate]]&lt;=DATE(2023,8,12)),"Week 2",
 IF(AND(Table1[[#This Row],[OrderDate]]&gt;=DATE(2023,8,13),Table1[[#This Row],[OrderDate]]&lt;=DATE(2023,8,19)),"Week 3",
 IF(AND(Table1[[#This Row],[OrderDate]]&gt;=DATE(2023,8,20),Table1[[#This Row],[OrderDate]]&lt;=DATE(2023,8,26)),"Week 4","Week 5"))))</f>
        <v>Week 2</v>
      </c>
      <c r="Q67" s="2">
        <v>45160</v>
      </c>
      <c r="R67" s="2" t="str">
        <f>TEXT(Table1[[#This Row],[ShipDate]],"dddd")</f>
        <v>Tuesday</v>
      </c>
      <c r="S67" t="s">
        <v>24</v>
      </c>
      <c r="T67">
        <v>13</v>
      </c>
      <c r="U67" t="str">
        <f>IF(Table1[[#This Row],[DateDifference]]&lt;7,"Within Target","Outside Target")</f>
        <v>Outside Target</v>
      </c>
      <c r="V67" t="s">
        <v>26</v>
      </c>
    </row>
    <row r="68" spans="1:22" x14ac:dyDescent="0.3">
      <c r="A68">
        <v>199</v>
      </c>
      <c r="B68">
        <v>2</v>
      </c>
      <c r="C68" t="s">
        <v>27</v>
      </c>
      <c r="D68" t="s">
        <v>28</v>
      </c>
      <c r="E68" s="1">
        <v>0.35</v>
      </c>
      <c r="F68">
        <v>12.36</v>
      </c>
      <c r="G68">
        <v>828.12</v>
      </c>
      <c r="H68">
        <v>16.686</v>
      </c>
      <c r="I68">
        <f>Table1[[#This Row],[CookiesShipped]]*Table1[[#This Row],[Selling Price]]</f>
        <v>1117.962</v>
      </c>
      <c r="J68">
        <v>67</v>
      </c>
      <c r="K68">
        <v>1117.962</v>
      </c>
      <c r="L68">
        <v>289.84199999999998</v>
      </c>
      <c r="M68">
        <v>0.25925925925925924</v>
      </c>
      <c r="N68" s="2">
        <v>45157</v>
      </c>
      <c r="O68" s="2" t="str">
        <f>TEXT(Table1[[#This Row],[OrderDate]],"dddd")</f>
        <v>Saturday</v>
      </c>
      <c r="P68" s="2" t="str">
        <f>IF(AND(Table1[[#This Row],[OrderDate]]&gt;=DATE(2023,7,30),Table1[[#This Row],[OrderDate]]&lt;=DATE(2023,8,5)),"Week 1",
 IF(AND(Table1[[#This Row],[OrderDate]]&gt;=DATE(2023,8,6),Table1[[#This Row],[OrderDate]]&lt;=DATE(2023,8,12)),"Week 2",
 IF(AND(Table1[[#This Row],[OrderDate]]&gt;=DATE(2023,8,13),Table1[[#This Row],[OrderDate]]&lt;=DATE(2023,8,19)),"Week 3",
 IF(AND(Table1[[#This Row],[OrderDate]]&gt;=DATE(2023,8,20),Table1[[#This Row],[OrderDate]]&lt;=DATE(2023,8,26)),"Week 4","Week 5"))))</f>
        <v>Week 3</v>
      </c>
      <c r="Q68" s="2">
        <v>45166</v>
      </c>
      <c r="R68" s="2" t="str">
        <f>TEXT(Table1[[#This Row],[ShipDate]],"dddd")</f>
        <v>Monday</v>
      </c>
      <c r="S68" t="s">
        <v>24</v>
      </c>
      <c r="T68">
        <v>9</v>
      </c>
      <c r="U68" t="str">
        <f>IF(Table1[[#This Row],[DateDifference]]&lt;7,"Within Target","Outside Target")</f>
        <v>Outside Target</v>
      </c>
      <c r="V68" t="s">
        <v>25</v>
      </c>
    </row>
    <row r="69" spans="1:22" x14ac:dyDescent="0.3">
      <c r="A69">
        <v>201</v>
      </c>
      <c r="B69">
        <v>3</v>
      </c>
      <c r="C69" t="s">
        <v>33</v>
      </c>
      <c r="D69" t="s">
        <v>34</v>
      </c>
      <c r="E69" s="1">
        <v>0.35</v>
      </c>
      <c r="F69">
        <v>41.66</v>
      </c>
      <c r="G69">
        <v>1374.78</v>
      </c>
      <c r="H69">
        <v>56.241</v>
      </c>
      <c r="I69">
        <f>Table1[[#This Row],[CookiesShipped]]*Table1[[#This Row],[Selling Price]]</f>
        <v>1855.953</v>
      </c>
      <c r="J69">
        <v>33</v>
      </c>
      <c r="K69">
        <v>1855.953</v>
      </c>
      <c r="L69">
        <v>481.173</v>
      </c>
      <c r="M69">
        <v>0.25925925925925924</v>
      </c>
      <c r="N69" s="2">
        <v>45151</v>
      </c>
      <c r="O69" s="2" t="str">
        <f>TEXT(Table1[[#This Row],[OrderDate]],"dddd")</f>
        <v>Sunday</v>
      </c>
      <c r="P69" s="2" t="str">
        <f>IF(AND(Table1[[#This Row],[OrderDate]]&gt;=DATE(2023,7,30),Table1[[#This Row],[OrderDate]]&lt;=DATE(2023,8,5)),"Week 1",
 IF(AND(Table1[[#This Row],[OrderDate]]&gt;=DATE(2023,8,6),Table1[[#This Row],[OrderDate]]&lt;=DATE(2023,8,12)),"Week 2",
 IF(AND(Table1[[#This Row],[OrderDate]]&gt;=DATE(2023,8,13),Table1[[#This Row],[OrderDate]]&lt;=DATE(2023,8,19)),"Week 3",
 IF(AND(Table1[[#This Row],[OrderDate]]&gt;=DATE(2023,8,20),Table1[[#This Row],[OrderDate]]&lt;=DATE(2023,8,26)),"Week 4","Week 5"))))</f>
        <v>Week 3</v>
      </c>
      <c r="Q69" s="2">
        <v>45168</v>
      </c>
      <c r="R69" s="2" t="str">
        <f>TEXT(Table1[[#This Row],[ShipDate]],"dddd")</f>
        <v>Wednesday</v>
      </c>
      <c r="S69" t="s">
        <v>24</v>
      </c>
      <c r="T69">
        <v>17</v>
      </c>
      <c r="U69" t="str">
        <f>IF(Table1[[#This Row],[DateDifference]]&lt;7,"Within Target","Outside Target")</f>
        <v>Outside Target</v>
      </c>
      <c r="V69" t="s">
        <v>38</v>
      </c>
    </row>
    <row r="70" spans="1:22" x14ac:dyDescent="0.3">
      <c r="A70">
        <v>202</v>
      </c>
      <c r="B70">
        <v>5</v>
      </c>
      <c r="C70" t="s">
        <v>30</v>
      </c>
      <c r="D70" t="s">
        <v>31</v>
      </c>
      <c r="E70" s="1">
        <v>0.35</v>
      </c>
      <c r="F70">
        <v>34.93</v>
      </c>
      <c r="G70">
        <v>1397.2</v>
      </c>
      <c r="H70">
        <v>47.155500000000004</v>
      </c>
      <c r="I70">
        <f>Table1[[#This Row],[CookiesShipped]]*Table1[[#This Row],[Selling Price]]</f>
        <v>1886.2200000000003</v>
      </c>
      <c r="J70">
        <v>40</v>
      </c>
      <c r="K70">
        <v>1886.2200000000003</v>
      </c>
      <c r="L70">
        <v>489.02000000000021</v>
      </c>
      <c r="M70">
        <v>0.25925925925925936</v>
      </c>
      <c r="N70" s="2">
        <v>45146</v>
      </c>
      <c r="O70" s="2" t="str">
        <f>TEXT(Table1[[#This Row],[OrderDate]],"dddd")</f>
        <v>Tuesday</v>
      </c>
      <c r="P70" s="2" t="str">
        <f>IF(AND(Table1[[#This Row],[OrderDate]]&gt;=DATE(2023,7,30),Table1[[#This Row],[OrderDate]]&lt;=DATE(2023,8,5)),"Week 1",
 IF(AND(Table1[[#This Row],[OrderDate]]&gt;=DATE(2023,8,6),Table1[[#This Row],[OrderDate]]&lt;=DATE(2023,8,12)),"Week 2",
 IF(AND(Table1[[#This Row],[OrderDate]]&gt;=DATE(2023,8,13),Table1[[#This Row],[OrderDate]]&lt;=DATE(2023,8,19)),"Week 3",
 IF(AND(Table1[[#This Row],[OrderDate]]&gt;=DATE(2023,8,20),Table1[[#This Row],[OrderDate]]&lt;=DATE(2023,8,26)),"Week 4","Week 5"))))</f>
        <v>Week 2</v>
      </c>
      <c r="Q70" s="2">
        <v>45149</v>
      </c>
      <c r="R70" s="2" t="str">
        <f>TEXT(Table1[[#This Row],[ShipDate]],"dddd")</f>
        <v>Friday</v>
      </c>
      <c r="S70" t="s">
        <v>24</v>
      </c>
      <c r="T70">
        <v>3</v>
      </c>
      <c r="U70" t="str">
        <f>IF(Table1[[#This Row],[DateDifference]]&lt;7,"Within Target","Outside Target")</f>
        <v>Within Target</v>
      </c>
      <c r="V70" t="s">
        <v>32</v>
      </c>
    </row>
    <row r="71" spans="1:22" x14ac:dyDescent="0.3">
      <c r="A71">
        <v>203</v>
      </c>
      <c r="B71">
        <v>1</v>
      </c>
      <c r="C71" t="s">
        <v>22</v>
      </c>
      <c r="D71" t="s">
        <v>23</v>
      </c>
      <c r="E71" s="1">
        <v>0.35</v>
      </c>
      <c r="F71">
        <v>28.54</v>
      </c>
      <c r="G71">
        <v>2111.96</v>
      </c>
      <c r="H71">
        <v>38.529000000000003</v>
      </c>
      <c r="I71">
        <f>Table1[[#This Row],[CookiesShipped]]*Table1[[#This Row],[Selling Price]]</f>
        <v>2851.1460000000002</v>
      </c>
      <c r="J71">
        <v>74</v>
      </c>
      <c r="K71">
        <v>2851.1460000000002</v>
      </c>
      <c r="L71">
        <v>739.18600000000015</v>
      </c>
      <c r="M71">
        <v>0.2592592592592593</v>
      </c>
      <c r="N71" s="2">
        <v>45143</v>
      </c>
      <c r="O71" s="2" t="str">
        <f>TEXT(Table1[[#This Row],[OrderDate]],"dddd")</f>
        <v>Saturday</v>
      </c>
      <c r="P71" s="2" t="str">
        <f>IF(AND(Table1[[#This Row],[OrderDate]]&gt;=DATE(2023,7,30),Table1[[#This Row],[OrderDate]]&lt;=DATE(2023,8,5)),"Week 1",
 IF(AND(Table1[[#This Row],[OrderDate]]&gt;=DATE(2023,8,6),Table1[[#This Row],[OrderDate]]&lt;=DATE(2023,8,12)),"Week 2",
 IF(AND(Table1[[#This Row],[OrderDate]]&gt;=DATE(2023,8,13),Table1[[#This Row],[OrderDate]]&lt;=DATE(2023,8,19)),"Week 3",
 IF(AND(Table1[[#This Row],[OrderDate]]&gt;=DATE(2023,8,20),Table1[[#This Row],[OrderDate]]&lt;=DATE(2023,8,26)),"Week 4","Week 5"))))</f>
        <v>Week 1</v>
      </c>
      <c r="Q71" s="2">
        <v>45165</v>
      </c>
      <c r="R71" s="2" t="str">
        <f>TEXT(Table1[[#This Row],[ShipDate]],"dddd")</f>
        <v>Sunday</v>
      </c>
      <c r="S71" t="s">
        <v>24</v>
      </c>
      <c r="T71">
        <v>22</v>
      </c>
      <c r="U71" t="str">
        <f>IF(Table1[[#This Row],[DateDifference]]&lt;7,"Within Target","Outside Target")</f>
        <v>Outside Target</v>
      </c>
      <c r="V71" t="s">
        <v>25</v>
      </c>
    </row>
    <row r="72" spans="1:22" x14ac:dyDescent="0.3">
      <c r="A72">
        <v>204</v>
      </c>
      <c r="B72">
        <v>4</v>
      </c>
      <c r="C72" t="s">
        <v>36</v>
      </c>
      <c r="D72" t="s">
        <v>37</v>
      </c>
      <c r="E72" s="1">
        <v>0.35</v>
      </c>
      <c r="F72">
        <v>21.15</v>
      </c>
      <c r="G72">
        <v>909.44999999999993</v>
      </c>
      <c r="H72">
        <v>28.552499999999998</v>
      </c>
      <c r="I72">
        <f>Table1[[#This Row],[CookiesShipped]]*Table1[[#This Row],[Selling Price]]</f>
        <v>1227.7574999999999</v>
      </c>
      <c r="J72">
        <v>43</v>
      </c>
      <c r="K72">
        <v>1227.7574999999999</v>
      </c>
      <c r="L72">
        <v>318.3075</v>
      </c>
      <c r="M72">
        <v>0.2592592592592593</v>
      </c>
      <c r="N72" s="2">
        <v>45152</v>
      </c>
      <c r="O72" s="2" t="str">
        <f>TEXT(Table1[[#This Row],[OrderDate]],"dddd")</f>
        <v>Monday</v>
      </c>
      <c r="P72" s="2" t="str">
        <f>IF(AND(Table1[[#This Row],[OrderDate]]&gt;=DATE(2023,7,30),Table1[[#This Row],[OrderDate]]&lt;=DATE(2023,8,5)),"Week 1",
 IF(AND(Table1[[#This Row],[OrderDate]]&gt;=DATE(2023,8,6),Table1[[#This Row],[OrderDate]]&lt;=DATE(2023,8,12)),"Week 2",
 IF(AND(Table1[[#This Row],[OrderDate]]&gt;=DATE(2023,8,13),Table1[[#This Row],[OrderDate]]&lt;=DATE(2023,8,19)),"Week 3",
 IF(AND(Table1[[#This Row],[OrderDate]]&gt;=DATE(2023,8,20),Table1[[#This Row],[OrderDate]]&lt;=DATE(2023,8,26)),"Week 4","Week 5"))))</f>
        <v>Week 3</v>
      </c>
      <c r="Q72" s="2">
        <v>45155</v>
      </c>
      <c r="R72" s="2" t="str">
        <f>TEXT(Table1[[#This Row],[ShipDate]],"dddd")</f>
        <v>Thursday</v>
      </c>
      <c r="S72" t="s">
        <v>24</v>
      </c>
      <c r="T72">
        <v>3</v>
      </c>
      <c r="U72" t="str">
        <f>IF(Table1[[#This Row],[DateDifference]]&lt;7,"Within Target","Outside Target")</f>
        <v>Within Target</v>
      </c>
      <c r="V72" t="s">
        <v>39</v>
      </c>
    </row>
    <row r="73" spans="1:22" x14ac:dyDescent="0.3">
      <c r="A73">
        <v>205</v>
      </c>
      <c r="B73">
        <v>1</v>
      </c>
      <c r="C73" t="s">
        <v>22</v>
      </c>
      <c r="D73" t="s">
        <v>23</v>
      </c>
      <c r="E73" s="1">
        <v>0.35</v>
      </c>
      <c r="F73">
        <v>44.47</v>
      </c>
      <c r="G73">
        <v>1956.6799999999998</v>
      </c>
      <c r="H73">
        <v>60.034500000000001</v>
      </c>
      <c r="I73">
        <f>Table1[[#This Row],[CookiesShipped]]*Table1[[#This Row],[Selling Price]]</f>
        <v>2641.518</v>
      </c>
      <c r="J73">
        <v>44</v>
      </c>
      <c r="K73">
        <v>2641.518</v>
      </c>
      <c r="L73">
        <v>684.83800000000019</v>
      </c>
      <c r="M73">
        <v>0.25925925925925936</v>
      </c>
      <c r="N73" s="2">
        <v>45141</v>
      </c>
      <c r="O73" s="2" t="str">
        <f>TEXT(Table1[[#This Row],[OrderDate]],"dddd")</f>
        <v>Thursday</v>
      </c>
      <c r="P73" s="2" t="str">
        <f>IF(AND(Table1[[#This Row],[OrderDate]]&gt;=DATE(2023,7,30),Table1[[#This Row],[OrderDate]]&lt;=DATE(2023,8,5)),"Week 1",
 IF(AND(Table1[[#This Row],[OrderDate]]&gt;=DATE(2023,8,6),Table1[[#This Row],[OrderDate]]&lt;=DATE(2023,8,12)),"Week 2",
 IF(AND(Table1[[#This Row],[OrderDate]]&gt;=DATE(2023,8,13),Table1[[#This Row],[OrderDate]]&lt;=DATE(2023,8,19)),"Week 3",
 IF(AND(Table1[[#This Row],[OrderDate]]&gt;=DATE(2023,8,20),Table1[[#This Row],[OrderDate]]&lt;=DATE(2023,8,26)),"Week 4","Week 5"))))</f>
        <v>Week 1</v>
      </c>
      <c r="Q73" s="2">
        <v>45148</v>
      </c>
      <c r="R73" s="2" t="str">
        <f>TEXT(Table1[[#This Row],[ShipDate]],"dddd")</f>
        <v>Thursday</v>
      </c>
      <c r="S73" t="s">
        <v>24</v>
      </c>
      <c r="T73">
        <v>7</v>
      </c>
      <c r="U73" t="str">
        <f>IF(Table1[[#This Row],[DateDifference]]&lt;7,"Within Target","Outside Target")</f>
        <v>Outside Target</v>
      </c>
      <c r="V73" t="s">
        <v>29</v>
      </c>
    </row>
    <row r="74" spans="1:22" x14ac:dyDescent="0.3">
      <c r="A74">
        <v>207</v>
      </c>
      <c r="B74">
        <v>1</v>
      </c>
      <c r="C74" t="s">
        <v>22</v>
      </c>
      <c r="D74" t="s">
        <v>23</v>
      </c>
      <c r="E74" s="1">
        <v>0.35</v>
      </c>
      <c r="F74">
        <v>41.75</v>
      </c>
      <c r="G74">
        <v>542.75</v>
      </c>
      <c r="H74">
        <v>56.362500000000004</v>
      </c>
      <c r="I74">
        <f>Table1[[#This Row],[CookiesShipped]]*Table1[[#This Row],[Selling Price]]</f>
        <v>732.71250000000009</v>
      </c>
      <c r="J74">
        <v>13</v>
      </c>
      <c r="K74">
        <v>732.71250000000009</v>
      </c>
      <c r="L74">
        <v>189.96250000000009</v>
      </c>
      <c r="M74">
        <v>0.25925925925925936</v>
      </c>
      <c r="N74" s="2">
        <v>45140</v>
      </c>
      <c r="O74" s="2" t="str">
        <f>TEXT(Table1[[#This Row],[OrderDate]],"dddd")</f>
        <v>Wednesday</v>
      </c>
      <c r="P74" s="2" t="str">
        <f>IF(AND(Table1[[#This Row],[OrderDate]]&gt;=DATE(2023,7,30),Table1[[#This Row],[OrderDate]]&lt;=DATE(2023,8,5)),"Week 1",
 IF(AND(Table1[[#This Row],[OrderDate]]&gt;=DATE(2023,8,6),Table1[[#This Row],[OrderDate]]&lt;=DATE(2023,8,12)),"Week 2",
 IF(AND(Table1[[#This Row],[OrderDate]]&gt;=DATE(2023,8,13),Table1[[#This Row],[OrderDate]]&lt;=DATE(2023,8,19)),"Week 3",
 IF(AND(Table1[[#This Row],[OrderDate]]&gt;=DATE(2023,8,20),Table1[[#This Row],[OrderDate]]&lt;=DATE(2023,8,26)),"Week 4","Week 5"))))</f>
        <v>Week 1</v>
      </c>
      <c r="Q74" s="2">
        <v>45153</v>
      </c>
      <c r="R74" s="2" t="str">
        <f>TEXT(Table1[[#This Row],[ShipDate]],"dddd")</f>
        <v>Tuesday</v>
      </c>
      <c r="S74" t="s">
        <v>24</v>
      </c>
      <c r="T74">
        <v>13</v>
      </c>
      <c r="U74" t="str">
        <f>IF(Table1[[#This Row],[DateDifference]]&lt;7,"Within Target","Outside Target")</f>
        <v>Outside Target</v>
      </c>
      <c r="V74" t="s">
        <v>26</v>
      </c>
    </row>
    <row r="75" spans="1:22" x14ac:dyDescent="0.3">
      <c r="A75">
        <v>208</v>
      </c>
      <c r="B75">
        <v>5</v>
      </c>
      <c r="C75" t="s">
        <v>30</v>
      </c>
      <c r="D75" t="s">
        <v>31</v>
      </c>
      <c r="E75" s="1">
        <v>0.35</v>
      </c>
      <c r="F75">
        <v>24.76</v>
      </c>
      <c r="G75">
        <v>297.12</v>
      </c>
      <c r="H75">
        <v>33.426000000000002</v>
      </c>
      <c r="I75">
        <f>Table1[[#This Row],[CookiesShipped]]*Table1[[#This Row],[Selling Price]]</f>
        <v>401.11200000000002</v>
      </c>
      <c r="J75">
        <v>12</v>
      </c>
      <c r="K75">
        <v>401.11200000000002</v>
      </c>
      <c r="L75">
        <v>103.99200000000002</v>
      </c>
      <c r="M75">
        <v>0.2592592592592593</v>
      </c>
      <c r="N75" s="2">
        <v>45166</v>
      </c>
      <c r="O75" s="2" t="str">
        <f>TEXT(Table1[[#This Row],[OrderDate]],"dddd")</f>
        <v>Monday</v>
      </c>
      <c r="P75" s="2" t="str">
        <f>IF(AND(Table1[[#This Row],[OrderDate]]&gt;=DATE(2023,7,30),Table1[[#This Row],[OrderDate]]&lt;=DATE(2023,8,5)),"Week 1",
 IF(AND(Table1[[#This Row],[OrderDate]]&gt;=DATE(2023,8,6),Table1[[#This Row],[OrderDate]]&lt;=DATE(2023,8,12)),"Week 2",
 IF(AND(Table1[[#This Row],[OrderDate]]&gt;=DATE(2023,8,13),Table1[[#This Row],[OrderDate]]&lt;=DATE(2023,8,19)),"Week 3",
 IF(AND(Table1[[#This Row],[OrderDate]]&gt;=DATE(2023,8,20),Table1[[#This Row],[OrderDate]]&lt;=DATE(2023,8,26)),"Week 4","Week 5"))))</f>
        <v>Week 5</v>
      </c>
      <c r="Q75" s="2">
        <v>45167</v>
      </c>
      <c r="R75" s="2" t="str">
        <f>TEXT(Table1[[#This Row],[ShipDate]],"dddd")</f>
        <v>Tuesday</v>
      </c>
      <c r="S75" t="s">
        <v>24</v>
      </c>
      <c r="T75">
        <v>1</v>
      </c>
      <c r="U75" t="str">
        <f>IF(Table1[[#This Row],[DateDifference]]&lt;7,"Within Target","Outside Target")</f>
        <v>Within Target</v>
      </c>
      <c r="V75" t="s">
        <v>39</v>
      </c>
    </row>
    <row r="76" spans="1:22" x14ac:dyDescent="0.3">
      <c r="A76">
        <v>209</v>
      </c>
      <c r="B76">
        <v>4</v>
      </c>
      <c r="C76" t="s">
        <v>36</v>
      </c>
      <c r="D76" t="s">
        <v>37</v>
      </c>
      <c r="E76" s="1">
        <v>0.35</v>
      </c>
      <c r="F76">
        <v>21.96</v>
      </c>
      <c r="G76">
        <v>2086.2000000000003</v>
      </c>
      <c r="H76">
        <v>29.646000000000004</v>
      </c>
      <c r="I76">
        <f>Table1[[#This Row],[CookiesShipped]]*Table1[[#This Row],[Selling Price]]</f>
        <v>2816.3700000000003</v>
      </c>
      <c r="J76">
        <v>95</v>
      </c>
      <c r="K76">
        <v>2816.3700000000003</v>
      </c>
      <c r="L76">
        <v>730.17000000000007</v>
      </c>
      <c r="M76">
        <v>0.25925925925925924</v>
      </c>
      <c r="N76" s="2">
        <v>45142</v>
      </c>
      <c r="O76" s="2" t="str">
        <f>TEXT(Table1[[#This Row],[OrderDate]],"dddd")</f>
        <v>Friday</v>
      </c>
      <c r="P76" s="2" t="str">
        <f>IF(AND(Table1[[#This Row],[OrderDate]]&gt;=DATE(2023,7,30),Table1[[#This Row],[OrderDate]]&lt;=DATE(2023,8,5)),"Week 1",
 IF(AND(Table1[[#This Row],[OrderDate]]&gt;=DATE(2023,8,6),Table1[[#This Row],[OrderDate]]&lt;=DATE(2023,8,12)),"Week 2",
 IF(AND(Table1[[#This Row],[OrderDate]]&gt;=DATE(2023,8,13),Table1[[#This Row],[OrderDate]]&lt;=DATE(2023,8,19)),"Week 3",
 IF(AND(Table1[[#This Row],[OrderDate]]&gt;=DATE(2023,8,20),Table1[[#This Row],[OrderDate]]&lt;=DATE(2023,8,26)),"Week 4","Week 5"))))</f>
        <v>Week 1</v>
      </c>
      <c r="Q76" s="2">
        <v>45147</v>
      </c>
      <c r="R76" s="2" t="str">
        <f>TEXT(Table1[[#This Row],[ShipDate]],"dddd")</f>
        <v>Wednesday</v>
      </c>
      <c r="S76" t="s">
        <v>24</v>
      </c>
      <c r="T76">
        <v>5</v>
      </c>
      <c r="U76" t="str">
        <f>IF(Table1[[#This Row],[DateDifference]]&lt;7,"Within Target","Outside Target")</f>
        <v>Within Target</v>
      </c>
      <c r="V76" t="s">
        <v>35</v>
      </c>
    </row>
    <row r="77" spans="1:22" x14ac:dyDescent="0.3">
      <c r="A77">
        <v>211</v>
      </c>
      <c r="B77">
        <v>1</v>
      </c>
      <c r="C77" t="s">
        <v>22</v>
      </c>
      <c r="D77" t="s">
        <v>23</v>
      </c>
      <c r="E77" s="1">
        <v>0.35</v>
      </c>
      <c r="F77">
        <v>18.559999999999999</v>
      </c>
      <c r="G77">
        <v>37.119999999999997</v>
      </c>
      <c r="H77">
        <v>25.056000000000001</v>
      </c>
      <c r="I77">
        <f>Table1[[#This Row],[CookiesShipped]]*Table1[[#This Row],[Selling Price]]</f>
        <v>50.112000000000002</v>
      </c>
      <c r="J77">
        <v>2</v>
      </c>
      <c r="K77">
        <v>50.112000000000002</v>
      </c>
      <c r="L77">
        <v>12.992000000000004</v>
      </c>
      <c r="M77">
        <v>0.25925925925925936</v>
      </c>
      <c r="N77" s="2">
        <v>45150</v>
      </c>
      <c r="O77" s="2" t="str">
        <f>TEXT(Table1[[#This Row],[OrderDate]],"dddd")</f>
        <v>Saturday</v>
      </c>
      <c r="P77" s="2" t="str">
        <f>IF(AND(Table1[[#This Row],[OrderDate]]&gt;=DATE(2023,7,30),Table1[[#This Row],[OrderDate]]&lt;=DATE(2023,8,5)),"Week 1",
 IF(AND(Table1[[#This Row],[OrderDate]]&gt;=DATE(2023,8,6),Table1[[#This Row],[OrderDate]]&lt;=DATE(2023,8,12)),"Week 2",
 IF(AND(Table1[[#This Row],[OrderDate]]&gt;=DATE(2023,8,13),Table1[[#This Row],[OrderDate]]&lt;=DATE(2023,8,19)),"Week 3",
 IF(AND(Table1[[#This Row],[OrderDate]]&gt;=DATE(2023,8,20),Table1[[#This Row],[OrderDate]]&lt;=DATE(2023,8,26)),"Week 4","Week 5"))))</f>
        <v>Week 2</v>
      </c>
      <c r="Q77" s="2">
        <v>45158</v>
      </c>
      <c r="R77" s="2" t="str">
        <f>TEXT(Table1[[#This Row],[ShipDate]],"dddd")</f>
        <v>Sunday</v>
      </c>
      <c r="S77" t="s">
        <v>24</v>
      </c>
      <c r="T77">
        <v>8</v>
      </c>
      <c r="U77" t="str">
        <f>IF(Table1[[#This Row],[DateDifference]]&lt;7,"Within Target","Outside Target")</f>
        <v>Outside Target</v>
      </c>
      <c r="V77" t="s">
        <v>25</v>
      </c>
    </row>
    <row r="78" spans="1:22" x14ac:dyDescent="0.3">
      <c r="A78">
        <v>212</v>
      </c>
      <c r="B78">
        <v>1</v>
      </c>
      <c r="C78" t="s">
        <v>22</v>
      </c>
      <c r="D78" t="s">
        <v>23</v>
      </c>
      <c r="E78" s="1">
        <v>0.35</v>
      </c>
      <c r="F78">
        <v>38.64</v>
      </c>
      <c r="G78">
        <v>1352.4</v>
      </c>
      <c r="H78">
        <v>52.164000000000001</v>
      </c>
      <c r="I78">
        <f>Table1[[#This Row],[CookiesShipped]]*Table1[[#This Row],[Selling Price]]</f>
        <v>1825.74</v>
      </c>
      <c r="J78">
        <v>35</v>
      </c>
      <c r="K78">
        <v>1825.74</v>
      </c>
      <c r="L78">
        <v>473.33999999999992</v>
      </c>
      <c r="M78">
        <v>0.25925925925925919</v>
      </c>
      <c r="N78" s="2">
        <v>45141</v>
      </c>
      <c r="O78" s="2" t="str">
        <f>TEXT(Table1[[#This Row],[OrderDate]],"dddd")</f>
        <v>Thursday</v>
      </c>
      <c r="P78" s="2" t="str">
        <f>IF(AND(Table1[[#This Row],[OrderDate]]&gt;=DATE(2023,7,30),Table1[[#This Row],[OrderDate]]&lt;=DATE(2023,8,5)),"Week 1",
 IF(AND(Table1[[#This Row],[OrderDate]]&gt;=DATE(2023,8,6),Table1[[#This Row],[OrderDate]]&lt;=DATE(2023,8,12)),"Week 2",
 IF(AND(Table1[[#This Row],[OrderDate]]&gt;=DATE(2023,8,13),Table1[[#This Row],[OrderDate]]&lt;=DATE(2023,8,19)),"Week 3",
 IF(AND(Table1[[#This Row],[OrderDate]]&gt;=DATE(2023,8,20),Table1[[#This Row],[OrderDate]]&lt;=DATE(2023,8,26)),"Week 4","Week 5"))))</f>
        <v>Week 1</v>
      </c>
      <c r="Q78" s="2">
        <v>45145</v>
      </c>
      <c r="R78" s="2" t="str">
        <f>TEXT(Table1[[#This Row],[ShipDate]],"dddd")</f>
        <v>Monday</v>
      </c>
      <c r="S78" t="s">
        <v>24</v>
      </c>
      <c r="T78">
        <v>4</v>
      </c>
      <c r="U78" t="str">
        <f>IF(Table1[[#This Row],[DateDifference]]&lt;7,"Within Target","Outside Target")</f>
        <v>Within Target</v>
      </c>
      <c r="V78" t="s">
        <v>29</v>
      </c>
    </row>
    <row r="79" spans="1:22" x14ac:dyDescent="0.3">
      <c r="A79">
        <v>213</v>
      </c>
      <c r="B79">
        <v>4</v>
      </c>
      <c r="C79" t="s">
        <v>36</v>
      </c>
      <c r="D79" t="s">
        <v>37</v>
      </c>
      <c r="E79" s="1">
        <v>0.35</v>
      </c>
      <c r="F79">
        <v>27.62</v>
      </c>
      <c r="G79">
        <v>2402.94</v>
      </c>
      <c r="H79">
        <v>37.287000000000006</v>
      </c>
      <c r="I79">
        <f>Table1[[#This Row],[CookiesShipped]]*Table1[[#This Row],[Selling Price]]</f>
        <v>3243.9690000000005</v>
      </c>
      <c r="J79">
        <v>87</v>
      </c>
      <c r="K79">
        <v>3243.9690000000005</v>
      </c>
      <c r="L79">
        <v>841.02900000000045</v>
      </c>
      <c r="M79">
        <v>0.25925925925925936</v>
      </c>
      <c r="N79" s="2">
        <v>45149</v>
      </c>
      <c r="O79" s="2" t="str">
        <f>TEXT(Table1[[#This Row],[OrderDate]],"dddd")</f>
        <v>Friday</v>
      </c>
      <c r="P79" s="2" t="str">
        <f>IF(AND(Table1[[#This Row],[OrderDate]]&gt;=DATE(2023,7,30),Table1[[#This Row],[OrderDate]]&lt;=DATE(2023,8,5)),"Week 1",
 IF(AND(Table1[[#This Row],[OrderDate]]&gt;=DATE(2023,8,6),Table1[[#This Row],[OrderDate]]&lt;=DATE(2023,8,12)),"Week 2",
 IF(AND(Table1[[#This Row],[OrderDate]]&gt;=DATE(2023,8,13),Table1[[#This Row],[OrderDate]]&lt;=DATE(2023,8,19)),"Week 3",
 IF(AND(Table1[[#This Row],[OrderDate]]&gt;=DATE(2023,8,20),Table1[[#This Row],[OrderDate]]&lt;=DATE(2023,8,26)),"Week 4","Week 5"))))</f>
        <v>Week 2</v>
      </c>
      <c r="Q79" s="2">
        <v>45151</v>
      </c>
      <c r="R79" s="2" t="str">
        <f>TEXT(Table1[[#This Row],[ShipDate]],"dddd")</f>
        <v>Sunday</v>
      </c>
      <c r="S79" t="s">
        <v>24</v>
      </c>
      <c r="T79">
        <v>2</v>
      </c>
      <c r="U79" t="str">
        <f>IF(Table1[[#This Row],[DateDifference]]&lt;7,"Within Target","Outside Target")</f>
        <v>Within Target</v>
      </c>
      <c r="V79" t="s">
        <v>35</v>
      </c>
    </row>
    <row r="80" spans="1:22" x14ac:dyDescent="0.3">
      <c r="A80">
        <v>214</v>
      </c>
      <c r="B80">
        <v>3</v>
      </c>
      <c r="C80" t="s">
        <v>33</v>
      </c>
      <c r="D80" t="s">
        <v>34</v>
      </c>
      <c r="E80" s="1">
        <v>0.35</v>
      </c>
      <c r="F80">
        <v>15.45</v>
      </c>
      <c r="G80">
        <v>1251.45</v>
      </c>
      <c r="H80">
        <v>20.857500000000002</v>
      </c>
      <c r="I80">
        <f>Table1[[#This Row],[CookiesShipped]]*Table1[[#This Row],[Selling Price]]</f>
        <v>1689.4575000000002</v>
      </c>
      <c r="J80">
        <v>81</v>
      </c>
      <c r="K80">
        <v>1689.4575000000002</v>
      </c>
      <c r="L80">
        <v>438.00750000000016</v>
      </c>
      <c r="M80">
        <v>0.2592592592592593</v>
      </c>
      <c r="N80" s="2">
        <v>45148</v>
      </c>
      <c r="O80" s="2" t="str">
        <f>TEXT(Table1[[#This Row],[OrderDate]],"dddd")</f>
        <v>Thursday</v>
      </c>
      <c r="P80" s="2" t="str">
        <f>IF(AND(Table1[[#This Row],[OrderDate]]&gt;=DATE(2023,7,30),Table1[[#This Row],[OrderDate]]&lt;=DATE(2023,8,5)),"Week 1",
 IF(AND(Table1[[#This Row],[OrderDate]]&gt;=DATE(2023,8,6),Table1[[#This Row],[OrderDate]]&lt;=DATE(2023,8,12)),"Week 2",
 IF(AND(Table1[[#This Row],[OrderDate]]&gt;=DATE(2023,8,13),Table1[[#This Row],[OrderDate]]&lt;=DATE(2023,8,19)),"Week 3",
 IF(AND(Table1[[#This Row],[OrderDate]]&gt;=DATE(2023,8,20),Table1[[#This Row],[OrderDate]]&lt;=DATE(2023,8,26)),"Week 4","Week 5"))))</f>
        <v>Week 2</v>
      </c>
      <c r="Q80" s="2">
        <v>45151</v>
      </c>
      <c r="R80" s="2" t="str">
        <f>TEXT(Table1[[#This Row],[ShipDate]],"dddd")</f>
        <v>Sunday</v>
      </c>
      <c r="S80" t="s">
        <v>24</v>
      </c>
      <c r="T80">
        <v>3</v>
      </c>
      <c r="U80" t="str">
        <f>IF(Table1[[#This Row],[DateDifference]]&lt;7,"Within Target","Outside Target")</f>
        <v>Within Target</v>
      </c>
      <c r="V80" t="s">
        <v>29</v>
      </c>
    </row>
    <row r="81" spans="1:22" x14ac:dyDescent="0.3">
      <c r="A81">
        <v>217</v>
      </c>
      <c r="B81">
        <v>3</v>
      </c>
      <c r="C81" t="s">
        <v>33</v>
      </c>
      <c r="D81" t="s">
        <v>34</v>
      </c>
      <c r="E81" s="1">
        <v>0.35</v>
      </c>
      <c r="F81">
        <v>29.46</v>
      </c>
      <c r="G81">
        <v>2739.78</v>
      </c>
      <c r="H81">
        <v>39.771000000000001</v>
      </c>
      <c r="I81">
        <f>Table1[[#This Row],[CookiesShipped]]*Table1[[#This Row],[Selling Price]]</f>
        <v>3698.703</v>
      </c>
      <c r="J81">
        <v>93</v>
      </c>
      <c r="K81">
        <v>3698.703</v>
      </c>
      <c r="L81">
        <v>958.92299999999977</v>
      </c>
      <c r="M81">
        <v>0.25925925925925919</v>
      </c>
      <c r="N81" s="2">
        <v>45147</v>
      </c>
      <c r="O81" s="2" t="str">
        <f>TEXT(Table1[[#This Row],[OrderDate]],"dddd")</f>
        <v>Wednesday</v>
      </c>
      <c r="P81" s="2" t="str">
        <f>IF(AND(Table1[[#This Row],[OrderDate]]&gt;=DATE(2023,7,30),Table1[[#This Row],[OrderDate]]&lt;=DATE(2023,8,5)),"Week 1",
 IF(AND(Table1[[#This Row],[OrderDate]]&gt;=DATE(2023,8,6),Table1[[#This Row],[OrderDate]]&lt;=DATE(2023,8,12)),"Week 2",
 IF(AND(Table1[[#This Row],[OrderDate]]&gt;=DATE(2023,8,13),Table1[[#This Row],[OrderDate]]&lt;=DATE(2023,8,19)),"Week 3",
 IF(AND(Table1[[#This Row],[OrderDate]]&gt;=DATE(2023,8,20),Table1[[#This Row],[OrderDate]]&lt;=DATE(2023,8,26)),"Week 4","Week 5"))))</f>
        <v>Week 2</v>
      </c>
      <c r="Q81" s="2">
        <v>45157</v>
      </c>
      <c r="R81" s="2" t="str">
        <f>TEXT(Table1[[#This Row],[ShipDate]],"dddd")</f>
        <v>Saturday</v>
      </c>
      <c r="S81" t="s">
        <v>24</v>
      </c>
      <c r="T81">
        <v>10</v>
      </c>
      <c r="U81" t="str">
        <f>IF(Table1[[#This Row],[DateDifference]]&lt;7,"Within Target","Outside Target")</f>
        <v>Outside Target</v>
      </c>
      <c r="V81" t="s">
        <v>26</v>
      </c>
    </row>
    <row r="82" spans="1:22" x14ac:dyDescent="0.3">
      <c r="A82">
        <v>222</v>
      </c>
      <c r="B82">
        <v>1</v>
      </c>
      <c r="C82" t="s">
        <v>22</v>
      </c>
      <c r="D82" t="s">
        <v>23</v>
      </c>
      <c r="E82" s="1">
        <v>0.35</v>
      </c>
      <c r="F82">
        <v>33.25</v>
      </c>
      <c r="G82">
        <v>232.75</v>
      </c>
      <c r="H82">
        <v>44.887500000000003</v>
      </c>
      <c r="I82">
        <f>Table1[[#This Row],[CookiesShipped]]*Table1[[#This Row],[Selling Price]]</f>
        <v>314.21250000000003</v>
      </c>
      <c r="J82">
        <v>7</v>
      </c>
      <c r="K82">
        <v>314.21250000000003</v>
      </c>
      <c r="L82">
        <v>81.462500000000034</v>
      </c>
      <c r="M82">
        <v>0.25925925925925936</v>
      </c>
      <c r="N82" s="2">
        <v>45160</v>
      </c>
      <c r="O82" s="2" t="str">
        <f>TEXT(Table1[[#This Row],[OrderDate]],"dddd")</f>
        <v>Tuesday</v>
      </c>
      <c r="P82" s="2" t="str">
        <f>IF(AND(Table1[[#This Row],[OrderDate]]&gt;=DATE(2023,7,30),Table1[[#This Row],[OrderDate]]&lt;=DATE(2023,8,5)),"Week 1",
 IF(AND(Table1[[#This Row],[OrderDate]]&gt;=DATE(2023,8,6),Table1[[#This Row],[OrderDate]]&lt;=DATE(2023,8,12)),"Week 2",
 IF(AND(Table1[[#This Row],[OrderDate]]&gt;=DATE(2023,8,13),Table1[[#This Row],[OrderDate]]&lt;=DATE(2023,8,19)),"Week 3",
 IF(AND(Table1[[#This Row],[OrderDate]]&gt;=DATE(2023,8,20),Table1[[#This Row],[OrderDate]]&lt;=DATE(2023,8,26)),"Week 4","Week 5"))))</f>
        <v>Week 4</v>
      </c>
      <c r="Q82" s="2">
        <v>45162</v>
      </c>
      <c r="R82" s="2" t="str">
        <f>TEXT(Table1[[#This Row],[ShipDate]],"dddd")</f>
        <v>Thursday</v>
      </c>
      <c r="S82" t="s">
        <v>24</v>
      </c>
      <c r="T82">
        <v>2</v>
      </c>
      <c r="U82" t="str">
        <f>IF(Table1[[#This Row],[DateDifference]]&lt;7,"Within Target","Outside Target")</f>
        <v>Within Target</v>
      </c>
      <c r="V82" t="s">
        <v>32</v>
      </c>
    </row>
    <row r="83" spans="1:22" x14ac:dyDescent="0.3">
      <c r="A83">
        <v>223</v>
      </c>
      <c r="B83">
        <v>4</v>
      </c>
      <c r="C83" t="s">
        <v>36</v>
      </c>
      <c r="D83" t="s">
        <v>37</v>
      </c>
      <c r="E83" s="1">
        <v>0.35</v>
      </c>
      <c r="F83">
        <v>20.07</v>
      </c>
      <c r="G83">
        <v>1364.76</v>
      </c>
      <c r="H83">
        <v>27.094500000000004</v>
      </c>
      <c r="I83">
        <f>Table1[[#This Row],[CookiesShipped]]*Table1[[#This Row],[Selling Price]]</f>
        <v>1842.4260000000002</v>
      </c>
      <c r="J83">
        <v>68</v>
      </c>
      <c r="K83">
        <v>1842.4260000000002</v>
      </c>
      <c r="L83">
        <v>477.66600000000017</v>
      </c>
      <c r="M83">
        <v>0.2592592592592593</v>
      </c>
      <c r="N83" s="2">
        <v>45154</v>
      </c>
      <c r="O83" s="2" t="str">
        <f>TEXT(Table1[[#This Row],[OrderDate]],"dddd")</f>
        <v>Wednesday</v>
      </c>
      <c r="P83" s="2" t="str">
        <f>IF(AND(Table1[[#This Row],[OrderDate]]&gt;=DATE(2023,7,30),Table1[[#This Row],[OrderDate]]&lt;=DATE(2023,8,5)),"Week 1",
 IF(AND(Table1[[#This Row],[OrderDate]]&gt;=DATE(2023,8,6),Table1[[#This Row],[OrderDate]]&lt;=DATE(2023,8,12)),"Week 2",
 IF(AND(Table1[[#This Row],[OrderDate]]&gt;=DATE(2023,8,13),Table1[[#This Row],[OrderDate]]&lt;=DATE(2023,8,19)),"Week 3",
 IF(AND(Table1[[#This Row],[OrderDate]]&gt;=DATE(2023,8,20),Table1[[#This Row],[OrderDate]]&lt;=DATE(2023,8,26)),"Week 4","Week 5"))))</f>
        <v>Week 3</v>
      </c>
      <c r="Q83" s="2">
        <v>45156</v>
      </c>
      <c r="R83" s="2" t="str">
        <f>TEXT(Table1[[#This Row],[ShipDate]],"dddd")</f>
        <v>Friday</v>
      </c>
      <c r="S83" t="s">
        <v>24</v>
      </c>
      <c r="T83">
        <v>2</v>
      </c>
      <c r="U83" t="str">
        <f>IF(Table1[[#This Row],[DateDifference]]&lt;7,"Within Target","Outside Target")</f>
        <v>Within Target</v>
      </c>
      <c r="V83" t="s">
        <v>26</v>
      </c>
    </row>
    <row r="84" spans="1:22" x14ac:dyDescent="0.3">
      <c r="A84">
        <v>224</v>
      </c>
      <c r="B84">
        <v>1</v>
      </c>
      <c r="C84" t="s">
        <v>22</v>
      </c>
      <c r="D84" t="s">
        <v>23</v>
      </c>
      <c r="E84" s="1">
        <v>0.35</v>
      </c>
      <c r="F84">
        <v>11.27</v>
      </c>
      <c r="G84">
        <v>653.66</v>
      </c>
      <c r="H84">
        <v>15.214500000000001</v>
      </c>
      <c r="I84">
        <f>Table1[[#This Row],[CookiesShipped]]*Table1[[#This Row],[Selling Price]]</f>
        <v>882.44100000000003</v>
      </c>
      <c r="J84">
        <v>58</v>
      </c>
      <c r="K84">
        <v>882.44100000000003</v>
      </c>
      <c r="L84">
        <v>228.78100000000006</v>
      </c>
      <c r="M84">
        <v>0.2592592592592593</v>
      </c>
      <c r="N84" s="2">
        <v>45144</v>
      </c>
      <c r="O84" s="2" t="str">
        <f>TEXT(Table1[[#This Row],[OrderDate]],"dddd")</f>
        <v>Sunday</v>
      </c>
      <c r="P84" s="2" t="str">
        <f>IF(AND(Table1[[#This Row],[OrderDate]]&gt;=DATE(2023,7,30),Table1[[#This Row],[OrderDate]]&lt;=DATE(2023,8,5)),"Week 1",
 IF(AND(Table1[[#This Row],[OrderDate]]&gt;=DATE(2023,8,6),Table1[[#This Row],[OrderDate]]&lt;=DATE(2023,8,12)),"Week 2",
 IF(AND(Table1[[#This Row],[OrderDate]]&gt;=DATE(2023,8,13),Table1[[#This Row],[OrderDate]]&lt;=DATE(2023,8,19)),"Week 3",
 IF(AND(Table1[[#This Row],[OrderDate]]&gt;=DATE(2023,8,20),Table1[[#This Row],[OrderDate]]&lt;=DATE(2023,8,26)),"Week 4","Week 5"))))</f>
        <v>Week 2</v>
      </c>
      <c r="Q84" s="2">
        <v>45163</v>
      </c>
      <c r="R84" s="2" t="str">
        <f>TEXT(Table1[[#This Row],[ShipDate]],"dddd")</f>
        <v>Friday</v>
      </c>
      <c r="S84" t="s">
        <v>24</v>
      </c>
      <c r="T84">
        <v>19</v>
      </c>
      <c r="U84" t="str">
        <f>IF(Table1[[#This Row],[DateDifference]]&lt;7,"Within Target","Outside Target")</f>
        <v>Outside Target</v>
      </c>
      <c r="V84" t="s">
        <v>38</v>
      </c>
    </row>
    <row r="85" spans="1:22" x14ac:dyDescent="0.3">
      <c r="A85">
        <v>226</v>
      </c>
      <c r="B85">
        <v>4</v>
      </c>
      <c r="C85" t="s">
        <v>36</v>
      </c>
      <c r="D85" t="s">
        <v>37</v>
      </c>
      <c r="E85" s="1">
        <v>0.35</v>
      </c>
      <c r="F85">
        <v>32.9</v>
      </c>
      <c r="G85">
        <v>954.09999999999991</v>
      </c>
      <c r="H85">
        <v>44.414999999999999</v>
      </c>
      <c r="I85">
        <f>Table1[[#This Row],[CookiesShipped]]*Table1[[#This Row],[Selling Price]]</f>
        <v>1288.0350000000001</v>
      </c>
      <c r="J85">
        <v>29</v>
      </c>
      <c r="K85">
        <v>1288.0350000000001</v>
      </c>
      <c r="L85">
        <v>333.93500000000017</v>
      </c>
      <c r="M85">
        <v>0.25925925925925936</v>
      </c>
      <c r="N85" s="2">
        <v>45161</v>
      </c>
      <c r="O85" s="2" t="str">
        <f>TEXT(Table1[[#This Row],[OrderDate]],"dddd")</f>
        <v>Wednesday</v>
      </c>
      <c r="P85" s="2" t="str">
        <f>IF(AND(Table1[[#This Row],[OrderDate]]&gt;=DATE(2023,7,30),Table1[[#This Row],[OrderDate]]&lt;=DATE(2023,8,5)),"Week 1",
 IF(AND(Table1[[#This Row],[OrderDate]]&gt;=DATE(2023,8,6),Table1[[#This Row],[OrderDate]]&lt;=DATE(2023,8,12)),"Week 2",
 IF(AND(Table1[[#This Row],[OrderDate]]&gt;=DATE(2023,8,13),Table1[[#This Row],[OrderDate]]&lt;=DATE(2023,8,19)),"Week 3",
 IF(AND(Table1[[#This Row],[OrderDate]]&gt;=DATE(2023,8,20),Table1[[#This Row],[OrderDate]]&lt;=DATE(2023,8,26)),"Week 4","Week 5"))))</f>
        <v>Week 4</v>
      </c>
      <c r="Q85" s="2">
        <v>45163</v>
      </c>
      <c r="R85" s="2" t="str">
        <f>TEXT(Table1[[#This Row],[ShipDate]],"dddd")</f>
        <v>Friday</v>
      </c>
      <c r="S85" t="s">
        <v>24</v>
      </c>
      <c r="T85">
        <v>2</v>
      </c>
      <c r="U85" t="str">
        <f>IF(Table1[[#This Row],[DateDifference]]&lt;7,"Within Target","Outside Target")</f>
        <v>Within Target</v>
      </c>
      <c r="V85" t="s">
        <v>26</v>
      </c>
    </row>
    <row r="86" spans="1:22" x14ac:dyDescent="0.3">
      <c r="A86">
        <v>229</v>
      </c>
      <c r="B86">
        <v>4</v>
      </c>
      <c r="C86" t="s">
        <v>36</v>
      </c>
      <c r="D86" t="s">
        <v>37</v>
      </c>
      <c r="E86" s="1">
        <v>0.35</v>
      </c>
      <c r="F86">
        <v>40.49</v>
      </c>
      <c r="G86">
        <v>850.29000000000008</v>
      </c>
      <c r="H86">
        <v>54.661500000000004</v>
      </c>
      <c r="I86">
        <f>Table1[[#This Row],[CookiesShipped]]*Table1[[#This Row],[Selling Price]]</f>
        <v>1147.8915000000002</v>
      </c>
      <c r="J86">
        <v>21</v>
      </c>
      <c r="K86">
        <v>1147.8915000000002</v>
      </c>
      <c r="L86">
        <v>297.6015000000001</v>
      </c>
      <c r="M86">
        <v>0.2592592592592593</v>
      </c>
      <c r="N86" s="2">
        <v>45152</v>
      </c>
      <c r="O86" s="2" t="str">
        <f>TEXT(Table1[[#This Row],[OrderDate]],"dddd")</f>
        <v>Monday</v>
      </c>
      <c r="P86" s="2" t="str">
        <f>IF(AND(Table1[[#This Row],[OrderDate]]&gt;=DATE(2023,7,30),Table1[[#This Row],[OrderDate]]&lt;=DATE(2023,8,5)),"Week 1",
 IF(AND(Table1[[#This Row],[OrderDate]]&gt;=DATE(2023,8,6),Table1[[#This Row],[OrderDate]]&lt;=DATE(2023,8,12)),"Week 2",
 IF(AND(Table1[[#This Row],[OrderDate]]&gt;=DATE(2023,8,13),Table1[[#This Row],[OrderDate]]&lt;=DATE(2023,8,19)),"Week 3",
 IF(AND(Table1[[#This Row],[OrderDate]]&gt;=DATE(2023,8,20),Table1[[#This Row],[OrderDate]]&lt;=DATE(2023,8,26)),"Week 4","Week 5"))))</f>
        <v>Week 3</v>
      </c>
      <c r="Q86" s="2">
        <v>45164</v>
      </c>
      <c r="R86" s="2" t="str">
        <f>TEXT(Table1[[#This Row],[ShipDate]],"dddd")</f>
        <v>Saturday</v>
      </c>
      <c r="S86" t="s">
        <v>24</v>
      </c>
      <c r="T86">
        <v>12</v>
      </c>
      <c r="U86" t="str">
        <f>IF(Table1[[#This Row],[DateDifference]]&lt;7,"Within Target","Outside Target")</f>
        <v>Outside Target</v>
      </c>
      <c r="V86" t="s">
        <v>39</v>
      </c>
    </row>
    <row r="87" spans="1:22" x14ac:dyDescent="0.3">
      <c r="A87">
        <v>231</v>
      </c>
      <c r="B87">
        <v>1</v>
      </c>
      <c r="C87" t="s">
        <v>22</v>
      </c>
      <c r="D87" t="s">
        <v>23</v>
      </c>
      <c r="E87" s="1">
        <v>0.35</v>
      </c>
      <c r="F87">
        <v>19.03</v>
      </c>
      <c r="G87">
        <v>190.3</v>
      </c>
      <c r="H87">
        <v>25.690500000000004</v>
      </c>
      <c r="I87">
        <f>Table1[[#This Row],[CookiesShipped]]*Table1[[#This Row],[Selling Price]]</f>
        <v>256.90500000000003</v>
      </c>
      <c r="J87">
        <v>10</v>
      </c>
      <c r="K87">
        <v>256.90500000000003</v>
      </c>
      <c r="L87">
        <v>66.605000000000018</v>
      </c>
      <c r="M87">
        <v>0.2592592592592593</v>
      </c>
      <c r="N87" s="2">
        <v>45149</v>
      </c>
      <c r="O87" s="2" t="str">
        <f>TEXT(Table1[[#This Row],[OrderDate]],"dddd")</f>
        <v>Friday</v>
      </c>
      <c r="P87" s="2" t="str">
        <f>IF(AND(Table1[[#This Row],[OrderDate]]&gt;=DATE(2023,7,30),Table1[[#This Row],[OrderDate]]&lt;=DATE(2023,8,5)),"Week 1",
 IF(AND(Table1[[#This Row],[OrderDate]]&gt;=DATE(2023,8,6),Table1[[#This Row],[OrderDate]]&lt;=DATE(2023,8,12)),"Week 2",
 IF(AND(Table1[[#This Row],[OrderDate]]&gt;=DATE(2023,8,13),Table1[[#This Row],[OrderDate]]&lt;=DATE(2023,8,19)),"Week 3",
 IF(AND(Table1[[#This Row],[OrderDate]]&gt;=DATE(2023,8,20),Table1[[#This Row],[OrderDate]]&lt;=DATE(2023,8,26)),"Week 4","Week 5"))))</f>
        <v>Week 2</v>
      </c>
      <c r="Q87" s="2">
        <v>45153</v>
      </c>
      <c r="R87" s="2" t="str">
        <f>TEXT(Table1[[#This Row],[ShipDate]],"dddd")</f>
        <v>Tuesday</v>
      </c>
      <c r="S87" t="s">
        <v>24</v>
      </c>
      <c r="T87">
        <v>4</v>
      </c>
      <c r="U87" t="str">
        <f>IF(Table1[[#This Row],[DateDifference]]&lt;7,"Within Target","Outside Target")</f>
        <v>Within Target</v>
      </c>
      <c r="V87" t="s">
        <v>35</v>
      </c>
    </row>
    <row r="88" spans="1:22" x14ac:dyDescent="0.3">
      <c r="A88">
        <v>232</v>
      </c>
      <c r="B88">
        <v>1</v>
      </c>
      <c r="C88" t="s">
        <v>22</v>
      </c>
      <c r="D88" t="s">
        <v>23</v>
      </c>
      <c r="E88" s="1">
        <v>0.35</v>
      </c>
      <c r="F88">
        <v>16.18</v>
      </c>
      <c r="G88">
        <v>1181.1399999999999</v>
      </c>
      <c r="H88">
        <v>21.843</v>
      </c>
      <c r="I88">
        <f>Table1[[#This Row],[CookiesShipped]]*Table1[[#This Row],[Selling Price]]</f>
        <v>1594.539</v>
      </c>
      <c r="J88">
        <v>73</v>
      </c>
      <c r="K88">
        <v>1594.539</v>
      </c>
      <c r="L88">
        <v>413.39900000000011</v>
      </c>
      <c r="M88">
        <v>0.25925925925925936</v>
      </c>
      <c r="N88" s="2">
        <v>45139</v>
      </c>
      <c r="O88" s="2" t="str">
        <f>TEXT(Table1[[#This Row],[OrderDate]],"dddd")</f>
        <v>Tuesday</v>
      </c>
      <c r="P88" s="2" t="str">
        <f>IF(AND(Table1[[#This Row],[OrderDate]]&gt;=DATE(2023,7,30),Table1[[#This Row],[OrderDate]]&lt;=DATE(2023,8,5)),"Week 1",
 IF(AND(Table1[[#This Row],[OrderDate]]&gt;=DATE(2023,8,6),Table1[[#This Row],[OrderDate]]&lt;=DATE(2023,8,12)),"Week 2",
 IF(AND(Table1[[#This Row],[OrderDate]]&gt;=DATE(2023,8,13),Table1[[#This Row],[OrderDate]]&lt;=DATE(2023,8,19)),"Week 3",
 IF(AND(Table1[[#This Row],[OrderDate]]&gt;=DATE(2023,8,20),Table1[[#This Row],[OrderDate]]&lt;=DATE(2023,8,26)),"Week 4","Week 5"))))</f>
        <v>Week 1</v>
      </c>
      <c r="Q88" s="2">
        <v>45164</v>
      </c>
      <c r="R88" s="2" t="str">
        <f>TEXT(Table1[[#This Row],[ShipDate]],"dddd")</f>
        <v>Saturday</v>
      </c>
      <c r="S88" t="s">
        <v>24</v>
      </c>
      <c r="T88">
        <v>25</v>
      </c>
      <c r="U88" t="str">
        <f>IF(Table1[[#This Row],[DateDifference]]&lt;7,"Within Target","Outside Target")</f>
        <v>Outside Target</v>
      </c>
      <c r="V88" t="s">
        <v>32</v>
      </c>
    </row>
    <row r="89" spans="1:22" x14ac:dyDescent="0.3">
      <c r="A89">
        <v>234</v>
      </c>
      <c r="B89">
        <v>4</v>
      </c>
      <c r="C89" t="s">
        <v>36</v>
      </c>
      <c r="D89" t="s">
        <v>37</v>
      </c>
      <c r="E89" s="1">
        <v>0.35</v>
      </c>
      <c r="F89">
        <v>6.51</v>
      </c>
      <c r="G89">
        <v>416.64</v>
      </c>
      <c r="H89">
        <v>8.7885000000000009</v>
      </c>
      <c r="I89">
        <f>Table1[[#This Row],[CookiesShipped]]*Table1[[#This Row],[Selling Price]]</f>
        <v>562.46400000000006</v>
      </c>
      <c r="J89">
        <v>64</v>
      </c>
      <c r="K89">
        <v>562.46400000000006</v>
      </c>
      <c r="L89">
        <v>145.82400000000007</v>
      </c>
      <c r="M89">
        <v>0.25925925925925936</v>
      </c>
      <c r="N89" s="2">
        <v>45146</v>
      </c>
      <c r="O89" s="2" t="str">
        <f>TEXT(Table1[[#This Row],[OrderDate]],"dddd")</f>
        <v>Tuesday</v>
      </c>
      <c r="P89" s="2" t="str">
        <f>IF(AND(Table1[[#This Row],[OrderDate]]&gt;=DATE(2023,7,30),Table1[[#This Row],[OrderDate]]&lt;=DATE(2023,8,5)),"Week 1",
 IF(AND(Table1[[#This Row],[OrderDate]]&gt;=DATE(2023,8,6),Table1[[#This Row],[OrderDate]]&lt;=DATE(2023,8,12)),"Week 2",
 IF(AND(Table1[[#This Row],[OrderDate]]&gt;=DATE(2023,8,13),Table1[[#This Row],[OrderDate]]&lt;=DATE(2023,8,19)),"Week 3",
 IF(AND(Table1[[#This Row],[OrderDate]]&gt;=DATE(2023,8,20),Table1[[#This Row],[OrderDate]]&lt;=DATE(2023,8,26)),"Week 4","Week 5"))))</f>
        <v>Week 2</v>
      </c>
      <c r="Q89" s="2">
        <v>45165</v>
      </c>
      <c r="R89" s="2" t="str">
        <f>TEXT(Table1[[#This Row],[ShipDate]],"dddd")</f>
        <v>Sunday</v>
      </c>
      <c r="S89" t="s">
        <v>24</v>
      </c>
      <c r="T89">
        <v>19</v>
      </c>
      <c r="U89" t="str">
        <f>IF(Table1[[#This Row],[DateDifference]]&lt;7,"Within Target","Outside Target")</f>
        <v>Outside Target</v>
      </c>
      <c r="V89" t="s">
        <v>32</v>
      </c>
    </row>
    <row r="90" spans="1:22" x14ac:dyDescent="0.3">
      <c r="A90">
        <v>237</v>
      </c>
      <c r="B90">
        <v>3</v>
      </c>
      <c r="C90" t="s">
        <v>33</v>
      </c>
      <c r="D90" t="s">
        <v>34</v>
      </c>
      <c r="E90" s="1">
        <v>0.35</v>
      </c>
      <c r="F90">
        <v>44.45</v>
      </c>
      <c r="G90">
        <v>4400.55</v>
      </c>
      <c r="H90">
        <v>60.007500000000007</v>
      </c>
      <c r="I90">
        <f>Table1[[#This Row],[CookiesShipped]]*Table1[[#This Row],[Selling Price]]</f>
        <v>5940.7425000000003</v>
      </c>
      <c r="J90">
        <v>99</v>
      </c>
      <c r="K90">
        <v>5940.7425000000003</v>
      </c>
      <c r="L90">
        <v>1540.1925000000001</v>
      </c>
      <c r="M90">
        <v>0.25925925925925924</v>
      </c>
      <c r="N90" s="2">
        <v>45139</v>
      </c>
      <c r="O90" s="2" t="str">
        <f>TEXT(Table1[[#This Row],[OrderDate]],"dddd")</f>
        <v>Tuesday</v>
      </c>
      <c r="P90" s="2" t="str">
        <f>IF(AND(Table1[[#This Row],[OrderDate]]&gt;=DATE(2023,7,30),Table1[[#This Row],[OrderDate]]&lt;=DATE(2023,8,5)),"Week 1",
 IF(AND(Table1[[#This Row],[OrderDate]]&gt;=DATE(2023,8,6),Table1[[#This Row],[OrderDate]]&lt;=DATE(2023,8,12)),"Week 2",
 IF(AND(Table1[[#This Row],[OrderDate]]&gt;=DATE(2023,8,13),Table1[[#This Row],[OrderDate]]&lt;=DATE(2023,8,19)),"Week 3",
 IF(AND(Table1[[#This Row],[OrderDate]]&gt;=DATE(2023,8,20),Table1[[#This Row],[OrderDate]]&lt;=DATE(2023,8,26)),"Week 4","Week 5"))))</f>
        <v>Week 1</v>
      </c>
      <c r="Q90" s="2">
        <v>45168</v>
      </c>
      <c r="R90" s="2" t="str">
        <f>TEXT(Table1[[#This Row],[ShipDate]],"dddd")</f>
        <v>Wednesday</v>
      </c>
      <c r="S90" t="s">
        <v>24</v>
      </c>
      <c r="T90">
        <v>29</v>
      </c>
      <c r="U90" t="str">
        <f>IF(Table1[[#This Row],[DateDifference]]&lt;7,"Within Target","Outside Target")</f>
        <v>Outside Target</v>
      </c>
      <c r="V90" t="s">
        <v>32</v>
      </c>
    </row>
    <row r="91" spans="1:22" x14ac:dyDescent="0.3">
      <c r="A91">
        <v>238</v>
      </c>
      <c r="B91">
        <v>4</v>
      </c>
      <c r="C91" t="s">
        <v>36</v>
      </c>
      <c r="D91" t="s">
        <v>37</v>
      </c>
      <c r="E91" s="1">
        <v>0.35</v>
      </c>
      <c r="F91">
        <v>20.39</v>
      </c>
      <c r="G91">
        <v>734.04</v>
      </c>
      <c r="H91">
        <v>27.526500000000002</v>
      </c>
      <c r="I91">
        <f>Table1[[#This Row],[CookiesShipped]]*Table1[[#This Row],[Selling Price]]</f>
        <v>990.95400000000006</v>
      </c>
      <c r="J91">
        <v>36</v>
      </c>
      <c r="K91">
        <v>990.95400000000006</v>
      </c>
      <c r="L91">
        <v>256.9140000000001</v>
      </c>
      <c r="M91">
        <v>0.25925925925925936</v>
      </c>
      <c r="N91" s="2">
        <v>45145</v>
      </c>
      <c r="O91" s="2" t="str">
        <f>TEXT(Table1[[#This Row],[OrderDate]],"dddd")</f>
        <v>Monday</v>
      </c>
      <c r="P91" s="2" t="str">
        <f>IF(AND(Table1[[#This Row],[OrderDate]]&gt;=DATE(2023,7,30),Table1[[#This Row],[OrderDate]]&lt;=DATE(2023,8,5)),"Week 1",
 IF(AND(Table1[[#This Row],[OrderDate]]&gt;=DATE(2023,8,6),Table1[[#This Row],[OrderDate]]&lt;=DATE(2023,8,12)),"Week 2",
 IF(AND(Table1[[#This Row],[OrderDate]]&gt;=DATE(2023,8,13),Table1[[#This Row],[OrderDate]]&lt;=DATE(2023,8,19)),"Week 3",
 IF(AND(Table1[[#This Row],[OrderDate]]&gt;=DATE(2023,8,20),Table1[[#This Row],[OrderDate]]&lt;=DATE(2023,8,26)),"Week 4","Week 5"))))</f>
        <v>Week 2</v>
      </c>
      <c r="Q91" s="2">
        <v>45147</v>
      </c>
      <c r="R91" s="2" t="str">
        <f>TEXT(Table1[[#This Row],[ShipDate]],"dddd")</f>
        <v>Wednesday</v>
      </c>
      <c r="S91" t="s">
        <v>24</v>
      </c>
      <c r="T91">
        <v>2</v>
      </c>
      <c r="U91" t="str">
        <f>IF(Table1[[#This Row],[DateDifference]]&lt;7,"Within Target","Outside Target")</f>
        <v>Within Target</v>
      </c>
      <c r="V91" t="s">
        <v>39</v>
      </c>
    </row>
    <row r="92" spans="1:22" x14ac:dyDescent="0.3">
      <c r="A92">
        <v>239</v>
      </c>
      <c r="B92">
        <v>1</v>
      </c>
      <c r="C92" t="s">
        <v>22</v>
      </c>
      <c r="D92" t="s">
        <v>23</v>
      </c>
      <c r="E92" s="1">
        <v>0.35</v>
      </c>
      <c r="F92">
        <v>41.96</v>
      </c>
      <c r="G92">
        <v>3440.7200000000003</v>
      </c>
      <c r="H92">
        <v>56.646000000000008</v>
      </c>
      <c r="I92">
        <f>Table1[[#This Row],[CookiesShipped]]*Table1[[#This Row],[Selling Price]]</f>
        <v>4644.9720000000007</v>
      </c>
      <c r="J92">
        <v>82</v>
      </c>
      <c r="K92">
        <v>4644.9720000000007</v>
      </c>
      <c r="L92">
        <v>1204.2520000000004</v>
      </c>
      <c r="M92">
        <v>0.2592592592592593</v>
      </c>
      <c r="N92" s="2">
        <v>45152</v>
      </c>
      <c r="O92" s="2" t="str">
        <f>TEXT(Table1[[#This Row],[OrderDate]],"dddd")</f>
        <v>Monday</v>
      </c>
      <c r="P92" s="2" t="str">
        <f>IF(AND(Table1[[#This Row],[OrderDate]]&gt;=DATE(2023,7,30),Table1[[#This Row],[OrderDate]]&lt;=DATE(2023,8,5)),"Week 1",
 IF(AND(Table1[[#This Row],[OrderDate]]&gt;=DATE(2023,8,6),Table1[[#This Row],[OrderDate]]&lt;=DATE(2023,8,12)),"Week 2",
 IF(AND(Table1[[#This Row],[OrderDate]]&gt;=DATE(2023,8,13),Table1[[#This Row],[OrderDate]]&lt;=DATE(2023,8,19)),"Week 3",
 IF(AND(Table1[[#This Row],[OrderDate]]&gt;=DATE(2023,8,20),Table1[[#This Row],[OrderDate]]&lt;=DATE(2023,8,26)),"Week 4","Week 5"))))</f>
        <v>Week 3</v>
      </c>
      <c r="Q92" s="2">
        <v>45155</v>
      </c>
      <c r="R92" s="2" t="str">
        <f>TEXT(Table1[[#This Row],[ShipDate]],"dddd")</f>
        <v>Thursday</v>
      </c>
      <c r="S92" t="s">
        <v>24</v>
      </c>
      <c r="T92">
        <v>3</v>
      </c>
      <c r="U92" t="str">
        <f>IF(Table1[[#This Row],[DateDifference]]&lt;7,"Within Target","Outside Target")</f>
        <v>Within Target</v>
      </c>
      <c r="V92" t="s">
        <v>39</v>
      </c>
    </row>
    <row r="93" spans="1:22" x14ac:dyDescent="0.3">
      <c r="A93">
        <v>240</v>
      </c>
      <c r="B93">
        <v>5</v>
      </c>
      <c r="C93" t="s">
        <v>30</v>
      </c>
      <c r="D93" t="s">
        <v>31</v>
      </c>
      <c r="E93" s="1">
        <v>0.35</v>
      </c>
      <c r="F93">
        <v>9.98</v>
      </c>
      <c r="G93">
        <v>958.08</v>
      </c>
      <c r="H93">
        <v>13.473000000000001</v>
      </c>
      <c r="I93">
        <f>Table1[[#This Row],[CookiesShipped]]*Table1[[#This Row],[Selling Price]]</f>
        <v>1293.4080000000001</v>
      </c>
      <c r="J93">
        <v>96</v>
      </c>
      <c r="K93">
        <v>1293.4080000000001</v>
      </c>
      <c r="L93">
        <v>335.32800000000009</v>
      </c>
      <c r="M93">
        <v>0.2592592592592593</v>
      </c>
      <c r="N93" s="2">
        <v>45158</v>
      </c>
      <c r="O93" s="2" t="str">
        <f>TEXT(Table1[[#This Row],[OrderDate]],"dddd")</f>
        <v>Sunday</v>
      </c>
      <c r="P93" s="2" t="str">
        <f>IF(AND(Table1[[#This Row],[OrderDate]]&gt;=DATE(2023,7,30),Table1[[#This Row],[OrderDate]]&lt;=DATE(2023,8,5)),"Week 1",
 IF(AND(Table1[[#This Row],[OrderDate]]&gt;=DATE(2023,8,6),Table1[[#This Row],[OrderDate]]&lt;=DATE(2023,8,12)),"Week 2",
 IF(AND(Table1[[#This Row],[OrderDate]]&gt;=DATE(2023,8,13),Table1[[#This Row],[OrderDate]]&lt;=DATE(2023,8,19)),"Week 3",
 IF(AND(Table1[[#This Row],[OrderDate]]&gt;=DATE(2023,8,20),Table1[[#This Row],[OrderDate]]&lt;=DATE(2023,8,26)),"Week 4","Week 5"))))</f>
        <v>Week 4</v>
      </c>
      <c r="Q93" s="2">
        <v>45171</v>
      </c>
      <c r="R93" s="2" t="str">
        <f>TEXT(Table1[[#This Row],[ShipDate]],"dddd")</f>
        <v>Saturday</v>
      </c>
      <c r="S93" t="s">
        <v>24</v>
      </c>
      <c r="T93">
        <v>13</v>
      </c>
      <c r="U93" t="str">
        <f>IF(Table1[[#This Row],[DateDifference]]&lt;7,"Within Target","Outside Target")</f>
        <v>Outside Target</v>
      </c>
      <c r="V93" t="s">
        <v>38</v>
      </c>
    </row>
    <row r="94" spans="1:22" x14ac:dyDescent="0.3">
      <c r="A94">
        <v>242</v>
      </c>
      <c r="B94">
        <v>1</v>
      </c>
      <c r="C94" t="s">
        <v>22</v>
      </c>
      <c r="D94" t="s">
        <v>23</v>
      </c>
      <c r="E94" s="1">
        <v>0.35</v>
      </c>
      <c r="F94">
        <v>10.74</v>
      </c>
      <c r="G94">
        <v>247.02</v>
      </c>
      <c r="H94">
        <v>14.499000000000001</v>
      </c>
      <c r="I94">
        <f>Table1[[#This Row],[CookiesShipped]]*Table1[[#This Row],[Selling Price]]</f>
        <v>333.47700000000003</v>
      </c>
      <c r="J94">
        <v>23</v>
      </c>
      <c r="K94">
        <v>333.47700000000003</v>
      </c>
      <c r="L94">
        <v>86.457000000000022</v>
      </c>
      <c r="M94">
        <v>0.2592592592592593</v>
      </c>
      <c r="N94" s="2">
        <v>45145</v>
      </c>
      <c r="O94" s="2" t="str">
        <f>TEXT(Table1[[#This Row],[OrderDate]],"dddd")</f>
        <v>Monday</v>
      </c>
      <c r="P94" s="2" t="str">
        <f>IF(AND(Table1[[#This Row],[OrderDate]]&gt;=DATE(2023,7,30),Table1[[#This Row],[OrderDate]]&lt;=DATE(2023,8,5)),"Week 1",
 IF(AND(Table1[[#This Row],[OrderDate]]&gt;=DATE(2023,8,6),Table1[[#This Row],[OrderDate]]&lt;=DATE(2023,8,12)),"Week 2",
 IF(AND(Table1[[#This Row],[OrderDate]]&gt;=DATE(2023,8,13),Table1[[#This Row],[OrderDate]]&lt;=DATE(2023,8,19)),"Week 3",
 IF(AND(Table1[[#This Row],[OrderDate]]&gt;=DATE(2023,8,20),Table1[[#This Row],[OrderDate]]&lt;=DATE(2023,8,26)),"Week 4","Week 5"))))</f>
        <v>Week 2</v>
      </c>
      <c r="Q94" s="2">
        <v>45164</v>
      </c>
      <c r="R94" s="2" t="str">
        <f>TEXT(Table1[[#This Row],[ShipDate]],"dddd")</f>
        <v>Saturday</v>
      </c>
      <c r="S94" t="s">
        <v>24</v>
      </c>
      <c r="T94">
        <v>19</v>
      </c>
      <c r="U94" t="str">
        <f>IF(Table1[[#This Row],[DateDifference]]&lt;7,"Within Target","Outside Target")</f>
        <v>Outside Target</v>
      </c>
      <c r="V94" t="s">
        <v>39</v>
      </c>
    </row>
    <row r="95" spans="1:22" x14ac:dyDescent="0.3">
      <c r="A95">
        <v>243</v>
      </c>
      <c r="B95">
        <v>5</v>
      </c>
      <c r="C95" t="s">
        <v>30</v>
      </c>
      <c r="D95" t="s">
        <v>31</v>
      </c>
      <c r="E95" s="1">
        <v>0.35</v>
      </c>
      <c r="F95">
        <v>22.88</v>
      </c>
      <c r="G95">
        <v>1418.56</v>
      </c>
      <c r="H95">
        <v>30.888000000000002</v>
      </c>
      <c r="I95">
        <f>Table1[[#This Row],[CookiesShipped]]*Table1[[#This Row],[Selling Price]]</f>
        <v>1915.056</v>
      </c>
      <c r="J95">
        <v>62</v>
      </c>
      <c r="K95">
        <v>1915.056</v>
      </c>
      <c r="L95">
        <v>496.49600000000009</v>
      </c>
      <c r="M95">
        <v>0.2592592592592593</v>
      </c>
      <c r="N95" s="2">
        <v>45148</v>
      </c>
      <c r="O95" s="2" t="str">
        <f>TEXT(Table1[[#This Row],[OrderDate]],"dddd")</f>
        <v>Thursday</v>
      </c>
      <c r="P95" s="2" t="str">
        <f>IF(AND(Table1[[#This Row],[OrderDate]]&gt;=DATE(2023,7,30),Table1[[#This Row],[OrderDate]]&lt;=DATE(2023,8,5)),"Week 1",
 IF(AND(Table1[[#This Row],[OrderDate]]&gt;=DATE(2023,8,6),Table1[[#This Row],[OrderDate]]&lt;=DATE(2023,8,12)),"Week 2",
 IF(AND(Table1[[#This Row],[OrderDate]]&gt;=DATE(2023,8,13),Table1[[#This Row],[OrderDate]]&lt;=DATE(2023,8,19)),"Week 3",
 IF(AND(Table1[[#This Row],[OrderDate]]&gt;=DATE(2023,8,20),Table1[[#This Row],[OrderDate]]&lt;=DATE(2023,8,26)),"Week 4","Week 5"))))</f>
        <v>Week 2</v>
      </c>
      <c r="Q95" s="2">
        <v>45156</v>
      </c>
      <c r="R95" s="2" t="str">
        <f>TEXT(Table1[[#This Row],[ShipDate]],"dddd")</f>
        <v>Friday</v>
      </c>
      <c r="S95" t="s">
        <v>24</v>
      </c>
      <c r="T95">
        <v>8</v>
      </c>
      <c r="U95" t="str">
        <f>IF(Table1[[#This Row],[DateDifference]]&lt;7,"Within Target","Outside Target")</f>
        <v>Outside Target</v>
      </c>
      <c r="V95" t="s">
        <v>29</v>
      </c>
    </row>
    <row r="96" spans="1:22" x14ac:dyDescent="0.3">
      <c r="A96">
        <v>244</v>
      </c>
      <c r="B96">
        <v>3</v>
      </c>
      <c r="C96" t="s">
        <v>33</v>
      </c>
      <c r="D96" t="s">
        <v>34</v>
      </c>
      <c r="E96" s="1">
        <v>0.35</v>
      </c>
      <c r="F96">
        <v>40.880000000000003</v>
      </c>
      <c r="G96">
        <v>3924.4800000000005</v>
      </c>
      <c r="H96">
        <v>55.188000000000009</v>
      </c>
      <c r="I96">
        <f>Table1[[#This Row],[CookiesShipped]]*Table1[[#This Row],[Selling Price]]</f>
        <v>5298.0480000000007</v>
      </c>
      <c r="J96">
        <v>96</v>
      </c>
      <c r="K96">
        <v>5298.0480000000007</v>
      </c>
      <c r="L96">
        <v>1373.5680000000002</v>
      </c>
      <c r="M96">
        <v>0.25925925925925924</v>
      </c>
      <c r="N96" s="2">
        <v>45144</v>
      </c>
      <c r="O96" s="2" t="str">
        <f>TEXT(Table1[[#This Row],[OrderDate]],"dddd")</f>
        <v>Sunday</v>
      </c>
      <c r="P96" s="2" t="str">
        <f>IF(AND(Table1[[#This Row],[OrderDate]]&gt;=DATE(2023,7,30),Table1[[#This Row],[OrderDate]]&lt;=DATE(2023,8,5)),"Week 1",
 IF(AND(Table1[[#This Row],[OrderDate]]&gt;=DATE(2023,8,6),Table1[[#This Row],[OrderDate]]&lt;=DATE(2023,8,12)),"Week 2",
 IF(AND(Table1[[#This Row],[OrderDate]]&gt;=DATE(2023,8,13),Table1[[#This Row],[OrderDate]]&lt;=DATE(2023,8,19)),"Week 3",
 IF(AND(Table1[[#This Row],[OrderDate]]&gt;=DATE(2023,8,20),Table1[[#This Row],[OrderDate]]&lt;=DATE(2023,8,26)),"Week 4","Week 5"))))</f>
        <v>Week 2</v>
      </c>
      <c r="Q96" s="2">
        <v>45152</v>
      </c>
      <c r="R96" s="2" t="str">
        <f>TEXT(Table1[[#This Row],[ShipDate]],"dddd")</f>
        <v>Monday</v>
      </c>
      <c r="S96" t="s">
        <v>24</v>
      </c>
      <c r="T96">
        <v>8</v>
      </c>
      <c r="U96" t="str">
        <f>IF(Table1[[#This Row],[DateDifference]]&lt;7,"Within Target","Outside Target")</f>
        <v>Outside Target</v>
      </c>
      <c r="V96" t="s">
        <v>38</v>
      </c>
    </row>
    <row r="97" spans="1:22" x14ac:dyDescent="0.3">
      <c r="A97">
        <v>245</v>
      </c>
      <c r="B97">
        <v>4</v>
      </c>
      <c r="C97" t="s">
        <v>36</v>
      </c>
      <c r="D97" t="s">
        <v>37</v>
      </c>
      <c r="E97" s="1">
        <v>0.35</v>
      </c>
      <c r="F97">
        <v>11.75</v>
      </c>
      <c r="G97">
        <v>434.75</v>
      </c>
      <c r="H97">
        <v>15.862500000000001</v>
      </c>
      <c r="I97">
        <f>Table1[[#This Row],[CookiesShipped]]*Table1[[#This Row],[Selling Price]]</f>
        <v>586.91250000000002</v>
      </c>
      <c r="J97">
        <v>37</v>
      </c>
      <c r="K97">
        <v>586.91250000000002</v>
      </c>
      <c r="L97">
        <v>152.16250000000002</v>
      </c>
      <c r="M97">
        <v>0.2592592592592593</v>
      </c>
      <c r="N97" s="2">
        <v>45144</v>
      </c>
      <c r="O97" s="2" t="str">
        <f>TEXT(Table1[[#This Row],[OrderDate]],"dddd")</f>
        <v>Sunday</v>
      </c>
      <c r="P97" s="2" t="str">
        <f>IF(AND(Table1[[#This Row],[OrderDate]]&gt;=DATE(2023,7,30),Table1[[#This Row],[OrderDate]]&lt;=DATE(2023,8,5)),"Week 1",
 IF(AND(Table1[[#This Row],[OrderDate]]&gt;=DATE(2023,8,6),Table1[[#This Row],[OrderDate]]&lt;=DATE(2023,8,12)),"Week 2",
 IF(AND(Table1[[#This Row],[OrderDate]]&gt;=DATE(2023,8,13),Table1[[#This Row],[OrderDate]]&lt;=DATE(2023,8,19)),"Week 3",
 IF(AND(Table1[[#This Row],[OrderDate]]&gt;=DATE(2023,8,20),Table1[[#This Row],[OrderDate]]&lt;=DATE(2023,8,26)),"Week 4","Week 5"))))</f>
        <v>Week 2</v>
      </c>
      <c r="Q97" s="2">
        <v>45146</v>
      </c>
      <c r="R97" s="2" t="str">
        <f>TEXT(Table1[[#This Row],[ShipDate]],"dddd")</f>
        <v>Tuesday</v>
      </c>
      <c r="S97" t="s">
        <v>24</v>
      </c>
      <c r="T97">
        <v>2</v>
      </c>
      <c r="U97" t="str">
        <f>IF(Table1[[#This Row],[DateDifference]]&lt;7,"Within Target","Outside Target")</f>
        <v>Within Target</v>
      </c>
      <c r="V97" t="s">
        <v>38</v>
      </c>
    </row>
    <row r="98" spans="1:22" x14ac:dyDescent="0.3">
      <c r="A98">
        <v>247</v>
      </c>
      <c r="B98">
        <v>4</v>
      </c>
      <c r="C98" t="s">
        <v>36</v>
      </c>
      <c r="D98" t="s">
        <v>37</v>
      </c>
      <c r="E98" s="1">
        <v>0.35</v>
      </c>
      <c r="F98">
        <v>37.5</v>
      </c>
      <c r="G98">
        <v>2062.5</v>
      </c>
      <c r="H98">
        <v>50.625</v>
      </c>
      <c r="I98">
        <f>Table1[[#This Row],[CookiesShipped]]*Table1[[#This Row],[Selling Price]]</f>
        <v>2784.375</v>
      </c>
      <c r="J98">
        <v>55</v>
      </c>
      <c r="K98">
        <v>2784.375</v>
      </c>
      <c r="L98">
        <v>721.875</v>
      </c>
      <c r="M98">
        <v>0.25925925925925924</v>
      </c>
      <c r="N98" s="2">
        <v>45149</v>
      </c>
      <c r="O98" s="2" t="str">
        <f>TEXT(Table1[[#This Row],[OrderDate]],"dddd")</f>
        <v>Friday</v>
      </c>
      <c r="P98" s="2" t="str">
        <f>IF(AND(Table1[[#This Row],[OrderDate]]&gt;=DATE(2023,7,30),Table1[[#This Row],[OrderDate]]&lt;=DATE(2023,8,5)),"Week 1",
 IF(AND(Table1[[#This Row],[OrderDate]]&gt;=DATE(2023,8,6),Table1[[#This Row],[OrderDate]]&lt;=DATE(2023,8,12)),"Week 2",
 IF(AND(Table1[[#This Row],[OrderDate]]&gt;=DATE(2023,8,13),Table1[[#This Row],[OrderDate]]&lt;=DATE(2023,8,19)),"Week 3",
 IF(AND(Table1[[#This Row],[OrderDate]]&gt;=DATE(2023,8,20),Table1[[#This Row],[OrderDate]]&lt;=DATE(2023,8,26)),"Week 4","Week 5"))))</f>
        <v>Week 2</v>
      </c>
      <c r="Q98" s="2">
        <v>45161</v>
      </c>
      <c r="R98" s="2" t="str">
        <f>TEXT(Table1[[#This Row],[ShipDate]],"dddd")</f>
        <v>Wednesday</v>
      </c>
      <c r="S98" t="s">
        <v>24</v>
      </c>
      <c r="T98">
        <v>12</v>
      </c>
      <c r="U98" t="str">
        <f>IF(Table1[[#This Row],[DateDifference]]&lt;7,"Within Target","Outside Target")</f>
        <v>Outside Target</v>
      </c>
      <c r="V98" t="s">
        <v>35</v>
      </c>
    </row>
    <row r="99" spans="1:22" x14ac:dyDescent="0.3">
      <c r="A99">
        <v>249</v>
      </c>
      <c r="B99">
        <v>5</v>
      </c>
      <c r="C99" t="s">
        <v>30</v>
      </c>
      <c r="D99" t="s">
        <v>31</v>
      </c>
      <c r="E99" s="1">
        <v>0.35</v>
      </c>
      <c r="F99">
        <v>33.85</v>
      </c>
      <c r="G99">
        <v>778.55000000000007</v>
      </c>
      <c r="H99">
        <v>45.697500000000005</v>
      </c>
      <c r="I99">
        <f>Table1[[#This Row],[CookiesShipped]]*Table1[[#This Row],[Selling Price]]</f>
        <v>1051.0425</v>
      </c>
      <c r="J99">
        <v>23</v>
      </c>
      <c r="K99">
        <v>1051.0425</v>
      </c>
      <c r="L99">
        <v>272.49249999999995</v>
      </c>
      <c r="M99">
        <v>0.25925925925925919</v>
      </c>
      <c r="N99" s="2">
        <v>45142</v>
      </c>
      <c r="O99" s="2" t="str">
        <f>TEXT(Table1[[#This Row],[OrderDate]],"dddd")</f>
        <v>Friday</v>
      </c>
      <c r="P99" s="2" t="str">
        <f>IF(AND(Table1[[#This Row],[OrderDate]]&gt;=DATE(2023,7,30),Table1[[#This Row],[OrderDate]]&lt;=DATE(2023,8,5)),"Week 1",
 IF(AND(Table1[[#This Row],[OrderDate]]&gt;=DATE(2023,8,6),Table1[[#This Row],[OrderDate]]&lt;=DATE(2023,8,12)),"Week 2",
 IF(AND(Table1[[#This Row],[OrderDate]]&gt;=DATE(2023,8,13),Table1[[#This Row],[OrderDate]]&lt;=DATE(2023,8,19)),"Week 3",
 IF(AND(Table1[[#This Row],[OrderDate]]&gt;=DATE(2023,8,20),Table1[[#This Row],[OrderDate]]&lt;=DATE(2023,8,26)),"Week 4","Week 5"))))</f>
        <v>Week 1</v>
      </c>
      <c r="Q99" s="2">
        <v>45156</v>
      </c>
      <c r="R99" s="2" t="str">
        <f>TEXT(Table1[[#This Row],[ShipDate]],"dddd")</f>
        <v>Friday</v>
      </c>
      <c r="S99" t="s">
        <v>24</v>
      </c>
      <c r="T99">
        <v>14</v>
      </c>
      <c r="U99" t="str">
        <f>IF(Table1[[#This Row],[DateDifference]]&lt;7,"Within Target","Outside Target")</f>
        <v>Outside Target</v>
      </c>
      <c r="V99" t="s">
        <v>35</v>
      </c>
    </row>
    <row r="100" spans="1:22" x14ac:dyDescent="0.3">
      <c r="A100">
        <v>251</v>
      </c>
      <c r="B100">
        <v>3</v>
      </c>
      <c r="C100" t="s">
        <v>33</v>
      </c>
      <c r="D100" t="s">
        <v>34</v>
      </c>
      <c r="E100" s="1">
        <v>0.35</v>
      </c>
      <c r="F100">
        <v>29.42</v>
      </c>
      <c r="G100">
        <v>2912.5800000000004</v>
      </c>
      <c r="H100">
        <v>39.717000000000006</v>
      </c>
      <c r="I100">
        <f>Table1[[#This Row],[CookiesShipped]]*Table1[[#This Row],[Selling Price]]</f>
        <v>3931.9830000000006</v>
      </c>
      <c r="J100">
        <v>99</v>
      </c>
      <c r="K100">
        <v>3931.9830000000006</v>
      </c>
      <c r="L100">
        <v>1019.4030000000002</v>
      </c>
      <c r="M100">
        <v>0.2592592592592593</v>
      </c>
      <c r="N100" s="2">
        <v>45150</v>
      </c>
      <c r="O100" s="2" t="str">
        <f>TEXT(Table1[[#This Row],[OrderDate]],"dddd")</f>
        <v>Saturday</v>
      </c>
      <c r="P100" s="2" t="str">
        <f>IF(AND(Table1[[#This Row],[OrderDate]]&gt;=DATE(2023,7,30),Table1[[#This Row],[OrderDate]]&lt;=DATE(2023,8,5)),"Week 1",
 IF(AND(Table1[[#This Row],[OrderDate]]&gt;=DATE(2023,8,6),Table1[[#This Row],[OrderDate]]&lt;=DATE(2023,8,12)),"Week 2",
 IF(AND(Table1[[#This Row],[OrderDate]]&gt;=DATE(2023,8,13),Table1[[#This Row],[OrderDate]]&lt;=DATE(2023,8,19)),"Week 3",
 IF(AND(Table1[[#This Row],[OrderDate]]&gt;=DATE(2023,8,20),Table1[[#This Row],[OrderDate]]&lt;=DATE(2023,8,26)),"Week 4","Week 5"))))</f>
        <v>Week 2</v>
      </c>
      <c r="Q100" s="2">
        <v>45165</v>
      </c>
      <c r="R100" s="2" t="str">
        <f>TEXT(Table1[[#This Row],[ShipDate]],"dddd")</f>
        <v>Sunday</v>
      </c>
      <c r="S100" t="s">
        <v>24</v>
      </c>
      <c r="T100">
        <v>15</v>
      </c>
      <c r="U100" t="str">
        <f>IF(Table1[[#This Row],[DateDifference]]&lt;7,"Within Target","Outside Target")</f>
        <v>Outside Target</v>
      </c>
      <c r="V100" t="s">
        <v>25</v>
      </c>
    </row>
    <row r="101" spans="1:22" x14ac:dyDescent="0.3">
      <c r="A101">
        <v>252</v>
      </c>
      <c r="B101">
        <v>2</v>
      </c>
      <c r="C101" t="s">
        <v>27</v>
      </c>
      <c r="D101" t="s">
        <v>28</v>
      </c>
      <c r="E101" s="1">
        <v>0.35</v>
      </c>
      <c r="F101">
        <v>16.329999999999998</v>
      </c>
      <c r="G101">
        <v>489.9</v>
      </c>
      <c r="H101">
        <v>22.045500000000001</v>
      </c>
      <c r="I101">
        <f>Table1[[#This Row],[CookiesShipped]]*Table1[[#This Row],[Selling Price]]</f>
        <v>661.36500000000001</v>
      </c>
      <c r="J101">
        <v>30</v>
      </c>
      <c r="K101">
        <v>661.36500000000001</v>
      </c>
      <c r="L101">
        <v>171.46500000000003</v>
      </c>
      <c r="M101">
        <v>0.2592592592592593</v>
      </c>
      <c r="N101" s="2">
        <v>45147</v>
      </c>
      <c r="O101" s="2" t="str">
        <f>TEXT(Table1[[#This Row],[OrderDate]],"dddd")</f>
        <v>Wednesday</v>
      </c>
      <c r="P101" s="2" t="str">
        <f>IF(AND(Table1[[#This Row],[OrderDate]]&gt;=DATE(2023,7,30),Table1[[#This Row],[OrderDate]]&lt;=DATE(2023,8,5)),"Week 1",
 IF(AND(Table1[[#This Row],[OrderDate]]&gt;=DATE(2023,8,6),Table1[[#This Row],[OrderDate]]&lt;=DATE(2023,8,12)),"Week 2",
 IF(AND(Table1[[#This Row],[OrderDate]]&gt;=DATE(2023,8,13),Table1[[#This Row],[OrderDate]]&lt;=DATE(2023,8,19)),"Week 3",
 IF(AND(Table1[[#This Row],[OrderDate]]&gt;=DATE(2023,8,20),Table1[[#This Row],[OrderDate]]&lt;=DATE(2023,8,26)),"Week 4","Week 5"))))</f>
        <v>Week 2</v>
      </c>
      <c r="Q101" s="2">
        <v>45155</v>
      </c>
      <c r="R101" s="2" t="str">
        <f>TEXT(Table1[[#This Row],[ShipDate]],"dddd")</f>
        <v>Thursday</v>
      </c>
      <c r="S101" t="s">
        <v>24</v>
      </c>
      <c r="T101">
        <v>8</v>
      </c>
      <c r="U101" t="str">
        <f>IF(Table1[[#This Row],[DateDifference]]&lt;7,"Within Target","Outside Target")</f>
        <v>Outside Target</v>
      </c>
      <c r="V101" t="s">
        <v>26</v>
      </c>
    </row>
    <row r="102" spans="1:22" x14ac:dyDescent="0.3">
      <c r="A102">
        <v>254</v>
      </c>
      <c r="B102">
        <v>2</v>
      </c>
      <c r="C102" t="s">
        <v>27</v>
      </c>
      <c r="D102" t="s">
        <v>28</v>
      </c>
      <c r="E102" s="1">
        <v>0.35</v>
      </c>
      <c r="F102">
        <v>13.17</v>
      </c>
      <c r="G102">
        <v>816.54</v>
      </c>
      <c r="H102">
        <v>17.779500000000002</v>
      </c>
      <c r="I102">
        <f>Table1[[#This Row],[CookiesShipped]]*Table1[[#This Row],[Selling Price]]</f>
        <v>1102.3290000000002</v>
      </c>
      <c r="J102">
        <v>62</v>
      </c>
      <c r="K102">
        <v>1102.3290000000002</v>
      </c>
      <c r="L102">
        <v>285.78900000000021</v>
      </c>
      <c r="M102">
        <v>0.25925925925925941</v>
      </c>
      <c r="N102" s="2">
        <v>45148</v>
      </c>
      <c r="O102" s="2" t="str">
        <f>TEXT(Table1[[#This Row],[OrderDate]],"dddd")</f>
        <v>Thursday</v>
      </c>
      <c r="P102" s="2" t="str">
        <f>IF(AND(Table1[[#This Row],[OrderDate]]&gt;=DATE(2023,7,30),Table1[[#This Row],[OrderDate]]&lt;=DATE(2023,8,5)),"Week 1",
 IF(AND(Table1[[#This Row],[OrderDate]]&gt;=DATE(2023,8,6),Table1[[#This Row],[OrderDate]]&lt;=DATE(2023,8,12)),"Week 2",
 IF(AND(Table1[[#This Row],[OrderDate]]&gt;=DATE(2023,8,13),Table1[[#This Row],[OrderDate]]&lt;=DATE(2023,8,19)),"Week 3",
 IF(AND(Table1[[#This Row],[OrderDate]]&gt;=DATE(2023,8,20),Table1[[#This Row],[OrderDate]]&lt;=DATE(2023,8,26)),"Week 4","Week 5"))))</f>
        <v>Week 2</v>
      </c>
      <c r="Q102" s="2">
        <v>45158</v>
      </c>
      <c r="R102" s="2" t="str">
        <f>TEXT(Table1[[#This Row],[ShipDate]],"dddd")</f>
        <v>Sunday</v>
      </c>
      <c r="S102" t="s">
        <v>24</v>
      </c>
      <c r="T102">
        <v>10</v>
      </c>
      <c r="U102" t="str">
        <f>IF(Table1[[#This Row],[DateDifference]]&lt;7,"Within Target","Outside Target")</f>
        <v>Outside Target</v>
      </c>
      <c r="V102" t="s">
        <v>29</v>
      </c>
    </row>
    <row r="103" spans="1:22" x14ac:dyDescent="0.3">
      <c r="A103">
        <v>256</v>
      </c>
      <c r="B103">
        <v>3</v>
      </c>
      <c r="C103" t="s">
        <v>33</v>
      </c>
      <c r="D103" t="s">
        <v>34</v>
      </c>
      <c r="E103" s="1">
        <v>0.35</v>
      </c>
      <c r="F103">
        <v>31.25</v>
      </c>
      <c r="G103">
        <v>2781.25</v>
      </c>
      <c r="H103">
        <v>42.1875</v>
      </c>
      <c r="I103">
        <f>Table1[[#This Row],[CookiesShipped]]*Table1[[#This Row],[Selling Price]]</f>
        <v>3754.6875</v>
      </c>
      <c r="J103">
        <v>89</v>
      </c>
      <c r="K103">
        <v>3754.6875</v>
      </c>
      <c r="L103">
        <v>973.4375</v>
      </c>
      <c r="M103">
        <v>0.25925925925925924</v>
      </c>
      <c r="N103" s="2">
        <v>45154</v>
      </c>
      <c r="O103" s="2" t="str">
        <f>TEXT(Table1[[#This Row],[OrderDate]],"dddd")</f>
        <v>Wednesday</v>
      </c>
      <c r="P103" s="2" t="str">
        <f>IF(AND(Table1[[#This Row],[OrderDate]]&gt;=DATE(2023,7,30),Table1[[#This Row],[OrderDate]]&lt;=DATE(2023,8,5)),"Week 1",
 IF(AND(Table1[[#This Row],[OrderDate]]&gt;=DATE(2023,8,6),Table1[[#This Row],[OrderDate]]&lt;=DATE(2023,8,12)),"Week 2",
 IF(AND(Table1[[#This Row],[OrderDate]]&gt;=DATE(2023,8,13),Table1[[#This Row],[OrderDate]]&lt;=DATE(2023,8,19)),"Week 3",
 IF(AND(Table1[[#This Row],[OrderDate]]&gt;=DATE(2023,8,20),Table1[[#This Row],[OrderDate]]&lt;=DATE(2023,8,26)),"Week 4","Week 5"))))</f>
        <v>Week 3</v>
      </c>
      <c r="Q103" s="2">
        <v>45166</v>
      </c>
      <c r="R103" s="2" t="str">
        <f>TEXT(Table1[[#This Row],[ShipDate]],"dddd")</f>
        <v>Monday</v>
      </c>
      <c r="S103" t="s">
        <v>24</v>
      </c>
      <c r="T103">
        <v>12</v>
      </c>
      <c r="U103" t="str">
        <f>IF(Table1[[#This Row],[DateDifference]]&lt;7,"Within Target","Outside Target")</f>
        <v>Outside Target</v>
      </c>
      <c r="V103" t="s">
        <v>26</v>
      </c>
    </row>
    <row r="104" spans="1:22" x14ac:dyDescent="0.3">
      <c r="A104">
        <v>257</v>
      </c>
      <c r="B104">
        <v>2</v>
      </c>
      <c r="C104" t="s">
        <v>27</v>
      </c>
      <c r="D104" t="s">
        <v>28</v>
      </c>
      <c r="E104" s="1">
        <v>0.35</v>
      </c>
      <c r="F104">
        <v>23.04</v>
      </c>
      <c r="G104">
        <v>1981.4399999999998</v>
      </c>
      <c r="H104">
        <v>31.103999999999999</v>
      </c>
      <c r="I104">
        <f>Table1[[#This Row],[CookiesShipped]]*Table1[[#This Row],[Selling Price]]</f>
        <v>2674.944</v>
      </c>
      <c r="J104">
        <v>86</v>
      </c>
      <c r="K104">
        <v>2674.944</v>
      </c>
      <c r="L104">
        <v>693.50400000000013</v>
      </c>
      <c r="M104">
        <v>0.2592592592592593</v>
      </c>
      <c r="N104" s="2">
        <v>45150</v>
      </c>
      <c r="O104" s="2" t="str">
        <f>TEXT(Table1[[#This Row],[OrderDate]],"dddd")</f>
        <v>Saturday</v>
      </c>
      <c r="P104" s="2" t="str">
        <f>IF(AND(Table1[[#This Row],[OrderDate]]&gt;=DATE(2023,7,30),Table1[[#This Row],[OrderDate]]&lt;=DATE(2023,8,5)),"Week 1",
 IF(AND(Table1[[#This Row],[OrderDate]]&gt;=DATE(2023,8,6),Table1[[#This Row],[OrderDate]]&lt;=DATE(2023,8,12)),"Week 2",
 IF(AND(Table1[[#This Row],[OrderDate]]&gt;=DATE(2023,8,13),Table1[[#This Row],[OrderDate]]&lt;=DATE(2023,8,19)),"Week 3",
 IF(AND(Table1[[#This Row],[OrderDate]]&gt;=DATE(2023,8,20),Table1[[#This Row],[OrderDate]]&lt;=DATE(2023,8,26)),"Week 4","Week 5"))))</f>
        <v>Week 2</v>
      </c>
      <c r="Q104" s="2">
        <v>45168</v>
      </c>
      <c r="R104" s="2" t="str">
        <f>TEXT(Table1[[#This Row],[ShipDate]],"dddd")</f>
        <v>Wednesday</v>
      </c>
      <c r="S104" t="s">
        <v>24</v>
      </c>
      <c r="T104">
        <v>18</v>
      </c>
      <c r="U104" t="str">
        <f>IF(Table1[[#This Row],[DateDifference]]&lt;7,"Within Target","Outside Target")</f>
        <v>Outside Target</v>
      </c>
      <c r="V104" t="s">
        <v>25</v>
      </c>
    </row>
    <row r="105" spans="1:22" x14ac:dyDescent="0.3">
      <c r="A105">
        <v>258</v>
      </c>
      <c r="B105">
        <v>2</v>
      </c>
      <c r="C105" t="s">
        <v>27</v>
      </c>
      <c r="D105" t="s">
        <v>28</v>
      </c>
      <c r="E105" s="1">
        <v>0.35</v>
      </c>
      <c r="F105">
        <v>25.79</v>
      </c>
      <c r="G105">
        <v>335.27</v>
      </c>
      <c r="H105">
        <v>34.816499999999998</v>
      </c>
      <c r="I105">
        <f>Table1[[#This Row],[CookiesShipped]]*Table1[[#This Row],[Selling Price]]</f>
        <v>452.61449999999996</v>
      </c>
      <c r="J105">
        <v>13</v>
      </c>
      <c r="K105">
        <v>452.61449999999996</v>
      </c>
      <c r="L105">
        <v>117.34449999999998</v>
      </c>
      <c r="M105">
        <v>0.25925925925925924</v>
      </c>
      <c r="N105" s="2">
        <v>45152</v>
      </c>
      <c r="O105" s="2" t="str">
        <f>TEXT(Table1[[#This Row],[OrderDate]],"dddd")</f>
        <v>Monday</v>
      </c>
      <c r="P105" s="2" t="str">
        <f>IF(AND(Table1[[#This Row],[OrderDate]]&gt;=DATE(2023,7,30),Table1[[#This Row],[OrderDate]]&lt;=DATE(2023,8,5)),"Week 1",
 IF(AND(Table1[[#This Row],[OrderDate]]&gt;=DATE(2023,8,6),Table1[[#This Row],[OrderDate]]&lt;=DATE(2023,8,12)),"Week 2",
 IF(AND(Table1[[#This Row],[OrderDate]]&gt;=DATE(2023,8,13),Table1[[#This Row],[OrderDate]]&lt;=DATE(2023,8,19)),"Week 3",
 IF(AND(Table1[[#This Row],[OrderDate]]&gt;=DATE(2023,8,20),Table1[[#This Row],[OrderDate]]&lt;=DATE(2023,8,26)),"Week 4","Week 5"))))</f>
        <v>Week 3</v>
      </c>
      <c r="Q105" s="2">
        <v>45157</v>
      </c>
      <c r="R105" s="2" t="str">
        <f>TEXT(Table1[[#This Row],[ShipDate]],"dddd")</f>
        <v>Saturday</v>
      </c>
      <c r="S105" t="s">
        <v>24</v>
      </c>
      <c r="T105">
        <v>5</v>
      </c>
      <c r="U105" t="str">
        <f>IF(Table1[[#This Row],[DateDifference]]&lt;7,"Within Target","Outside Target")</f>
        <v>Within Target</v>
      </c>
      <c r="V105" t="s">
        <v>39</v>
      </c>
    </row>
    <row r="106" spans="1:22" x14ac:dyDescent="0.3">
      <c r="A106">
        <v>260</v>
      </c>
      <c r="B106">
        <v>2</v>
      </c>
      <c r="C106" t="s">
        <v>27</v>
      </c>
      <c r="D106" t="s">
        <v>28</v>
      </c>
      <c r="E106" s="1">
        <v>0.35</v>
      </c>
      <c r="F106">
        <v>11.9</v>
      </c>
      <c r="G106">
        <v>226.1</v>
      </c>
      <c r="H106">
        <v>16.065000000000001</v>
      </c>
      <c r="I106">
        <f>Table1[[#This Row],[CookiesShipped]]*Table1[[#This Row],[Selling Price]]</f>
        <v>305.23500000000001</v>
      </c>
      <c r="J106">
        <v>19</v>
      </c>
      <c r="K106">
        <v>305.23500000000001</v>
      </c>
      <c r="L106">
        <v>79.135000000000019</v>
      </c>
      <c r="M106">
        <v>0.2592592592592593</v>
      </c>
      <c r="N106" s="2">
        <v>45146</v>
      </c>
      <c r="O106" s="2" t="str">
        <f>TEXT(Table1[[#This Row],[OrderDate]],"dddd")</f>
        <v>Tuesday</v>
      </c>
      <c r="P106" s="2" t="str">
        <f>IF(AND(Table1[[#This Row],[OrderDate]]&gt;=DATE(2023,7,30),Table1[[#This Row],[OrderDate]]&lt;=DATE(2023,8,5)),"Week 1",
 IF(AND(Table1[[#This Row],[OrderDate]]&gt;=DATE(2023,8,6),Table1[[#This Row],[OrderDate]]&lt;=DATE(2023,8,12)),"Week 2",
 IF(AND(Table1[[#This Row],[OrderDate]]&gt;=DATE(2023,8,13),Table1[[#This Row],[OrderDate]]&lt;=DATE(2023,8,19)),"Week 3",
 IF(AND(Table1[[#This Row],[OrderDate]]&gt;=DATE(2023,8,20),Table1[[#This Row],[OrderDate]]&lt;=DATE(2023,8,26)),"Week 4","Week 5"))))</f>
        <v>Week 2</v>
      </c>
      <c r="Q106" s="2">
        <v>45167</v>
      </c>
      <c r="R106" s="2" t="str">
        <f>TEXT(Table1[[#This Row],[ShipDate]],"dddd")</f>
        <v>Tuesday</v>
      </c>
      <c r="S106" t="s">
        <v>24</v>
      </c>
      <c r="T106">
        <v>21</v>
      </c>
      <c r="U106" t="str">
        <f>IF(Table1[[#This Row],[DateDifference]]&lt;7,"Within Target","Outside Target")</f>
        <v>Outside Target</v>
      </c>
      <c r="V106" t="s">
        <v>32</v>
      </c>
    </row>
    <row r="107" spans="1:22" x14ac:dyDescent="0.3">
      <c r="A107">
        <v>261</v>
      </c>
      <c r="B107">
        <v>2</v>
      </c>
      <c r="C107" t="s">
        <v>27</v>
      </c>
      <c r="D107" t="s">
        <v>28</v>
      </c>
      <c r="E107" s="1">
        <v>0.35</v>
      </c>
      <c r="F107">
        <v>31.38</v>
      </c>
      <c r="G107">
        <v>1537.62</v>
      </c>
      <c r="H107">
        <v>42.363</v>
      </c>
      <c r="I107">
        <f>Table1[[#This Row],[CookiesShipped]]*Table1[[#This Row],[Selling Price]]</f>
        <v>2075.7869999999998</v>
      </c>
      <c r="J107">
        <v>49</v>
      </c>
      <c r="K107">
        <v>2075.7869999999998</v>
      </c>
      <c r="L107">
        <v>538.16699999999992</v>
      </c>
      <c r="M107">
        <v>0.25925925925925924</v>
      </c>
      <c r="N107" s="2">
        <v>45142</v>
      </c>
      <c r="O107" s="2" t="str">
        <f>TEXT(Table1[[#This Row],[OrderDate]],"dddd")</f>
        <v>Friday</v>
      </c>
      <c r="P107" s="2" t="str">
        <f>IF(AND(Table1[[#This Row],[OrderDate]]&gt;=DATE(2023,7,30),Table1[[#This Row],[OrderDate]]&lt;=DATE(2023,8,5)),"Week 1",
 IF(AND(Table1[[#This Row],[OrderDate]]&gt;=DATE(2023,8,6),Table1[[#This Row],[OrderDate]]&lt;=DATE(2023,8,12)),"Week 2",
 IF(AND(Table1[[#This Row],[OrderDate]]&gt;=DATE(2023,8,13),Table1[[#This Row],[OrderDate]]&lt;=DATE(2023,8,19)),"Week 3",
 IF(AND(Table1[[#This Row],[OrderDate]]&gt;=DATE(2023,8,20),Table1[[#This Row],[OrderDate]]&lt;=DATE(2023,8,26)),"Week 4","Week 5"))))</f>
        <v>Week 1</v>
      </c>
      <c r="Q107" s="2">
        <v>45168</v>
      </c>
      <c r="R107" s="2" t="str">
        <f>TEXT(Table1[[#This Row],[ShipDate]],"dddd")</f>
        <v>Wednesday</v>
      </c>
      <c r="S107" t="s">
        <v>24</v>
      </c>
      <c r="T107">
        <v>26</v>
      </c>
      <c r="U107" t="str">
        <f>IF(Table1[[#This Row],[DateDifference]]&lt;7,"Within Target","Outside Target")</f>
        <v>Outside Target</v>
      </c>
      <c r="V107" t="s">
        <v>35</v>
      </c>
    </row>
    <row r="108" spans="1:22" x14ac:dyDescent="0.3">
      <c r="A108">
        <v>262</v>
      </c>
      <c r="B108">
        <v>2</v>
      </c>
      <c r="C108" t="s">
        <v>27</v>
      </c>
      <c r="D108" t="s">
        <v>28</v>
      </c>
      <c r="E108" s="1">
        <v>0.35</v>
      </c>
      <c r="F108">
        <v>27.76</v>
      </c>
      <c r="G108">
        <v>2776</v>
      </c>
      <c r="H108">
        <v>37.476000000000006</v>
      </c>
      <c r="I108">
        <f>Table1[[#This Row],[CookiesShipped]]*Table1[[#This Row],[Selling Price]]</f>
        <v>3747.6000000000008</v>
      </c>
      <c r="J108">
        <v>100</v>
      </c>
      <c r="K108">
        <v>3747.6000000000008</v>
      </c>
      <c r="L108">
        <v>971.60000000000082</v>
      </c>
      <c r="M108">
        <v>0.25925925925925941</v>
      </c>
      <c r="N108" s="2">
        <v>45152</v>
      </c>
      <c r="O108" s="2" t="str">
        <f>TEXT(Table1[[#This Row],[OrderDate]],"dddd")</f>
        <v>Monday</v>
      </c>
      <c r="P108" s="2" t="str">
        <f>IF(AND(Table1[[#This Row],[OrderDate]]&gt;=DATE(2023,7,30),Table1[[#This Row],[OrderDate]]&lt;=DATE(2023,8,5)),"Week 1",
 IF(AND(Table1[[#This Row],[OrderDate]]&gt;=DATE(2023,8,6),Table1[[#This Row],[OrderDate]]&lt;=DATE(2023,8,12)),"Week 2",
 IF(AND(Table1[[#This Row],[OrderDate]]&gt;=DATE(2023,8,13),Table1[[#This Row],[OrderDate]]&lt;=DATE(2023,8,19)),"Week 3",
 IF(AND(Table1[[#This Row],[OrderDate]]&gt;=DATE(2023,8,20),Table1[[#This Row],[OrderDate]]&lt;=DATE(2023,8,26)),"Week 4","Week 5"))))</f>
        <v>Week 3</v>
      </c>
      <c r="Q108" s="2">
        <v>45153</v>
      </c>
      <c r="R108" s="2" t="str">
        <f>TEXT(Table1[[#This Row],[ShipDate]],"dddd")</f>
        <v>Tuesday</v>
      </c>
      <c r="S108" t="s">
        <v>24</v>
      </c>
      <c r="T108">
        <v>1</v>
      </c>
      <c r="U108" t="str">
        <f>IF(Table1[[#This Row],[DateDifference]]&lt;7,"Within Target","Outside Target")</f>
        <v>Within Target</v>
      </c>
      <c r="V108" t="s">
        <v>39</v>
      </c>
    </row>
    <row r="109" spans="1:22" x14ac:dyDescent="0.3">
      <c r="A109">
        <v>263</v>
      </c>
      <c r="B109">
        <v>1</v>
      </c>
      <c r="C109" t="s">
        <v>22</v>
      </c>
      <c r="D109" t="s">
        <v>23</v>
      </c>
      <c r="E109" s="1">
        <v>0.35</v>
      </c>
      <c r="F109">
        <v>32.520000000000003</v>
      </c>
      <c r="G109">
        <v>390.24</v>
      </c>
      <c r="H109">
        <v>43.902000000000008</v>
      </c>
      <c r="I109">
        <f>Table1[[#This Row],[CookiesShipped]]*Table1[[#This Row],[Selling Price]]</f>
        <v>526.82400000000007</v>
      </c>
      <c r="J109">
        <v>12</v>
      </c>
      <c r="K109">
        <v>526.82400000000007</v>
      </c>
      <c r="L109">
        <v>136.58400000000006</v>
      </c>
      <c r="M109">
        <v>0.25925925925925936</v>
      </c>
      <c r="N109" s="2">
        <v>45159</v>
      </c>
      <c r="O109" s="2" t="str">
        <f>TEXT(Table1[[#This Row],[OrderDate]],"dddd")</f>
        <v>Monday</v>
      </c>
      <c r="P109" s="2" t="str">
        <f>IF(AND(Table1[[#This Row],[OrderDate]]&gt;=DATE(2023,7,30),Table1[[#This Row],[OrderDate]]&lt;=DATE(2023,8,5)),"Week 1",
 IF(AND(Table1[[#This Row],[OrderDate]]&gt;=DATE(2023,8,6),Table1[[#This Row],[OrderDate]]&lt;=DATE(2023,8,12)),"Week 2",
 IF(AND(Table1[[#This Row],[OrderDate]]&gt;=DATE(2023,8,13),Table1[[#This Row],[OrderDate]]&lt;=DATE(2023,8,19)),"Week 3",
 IF(AND(Table1[[#This Row],[OrderDate]]&gt;=DATE(2023,8,20),Table1[[#This Row],[OrderDate]]&lt;=DATE(2023,8,26)),"Week 4","Week 5"))))</f>
        <v>Week 4</v>
      </c>
      <c r="Q109" s="2">
        <v>45159</v>
      </c>
      <c r="R109" s="2" t="str">
        <f>TEXT(Table1[[#This Row],[ShipDate]],"dddd")</f>
        <v>Monday</v>
      </c>
      <c r="S109" t="s">
        <v>24</v>
      </c>
      <c r="T109">
        <v>0</v>
      </c>
      <c r="U109" t="str">
        <f>IF(Table1[[#This Row],[DateDifference]]&lt;7,"Within Target","Outside Target")</f>
        <v>Within Target</v>
      </c>
      <c r="V109" t="s">
        <v>39</v>
      </c>
    </row>
    <row r="110" spans="1:22" x14ac:dyDescent="0.3">
      <c r="A110">
        <v>264</v>
      </c>
      <c r="B110">
        <v>1</v>
      </c>
      <c r="C110" t="s">
        <v>22</v>
      </c>
      <c r="D110" t="s">
        <v>23</v>
      </c>
      <c r="E110" s="1">
        <v>0.35</v>
      </c>
      <c r="F110">
        <v>5.81</v>
      </c>
      <c r="G110">
        <v>354.40999999999997</v>
      </c>
      <c r="H110">
        <v>7.8434999999999997</v>
      </c>
      <c r="I110">
        <f>Table1[[#This Row],[CookiesShipped]]*Table1[[#This Row],[Selling Price]]</f>
        <v>478.45349999999996</v>
      </c>
      <c r="J110">
        <v>61</v>
      </c>
      <c r="K110">
        <v>478.45349999999996</v>
      </c>
      <c r="L110">
        <v>124.04349999999999</v>
      </c>
      <c r="M110">
        <v>0.25925925925925924</v>
      </c>
      <c r="N110" s="2">
        <v>45162</v>
      </c>
      <c r="O110" s="2" t="str">
        <f>TEXT(Table1[[#This Row],[OrderDate]],"dddd")</f>
        <v>Thursday</v>
      </c>
      <c r="P110" s="2" t="str">
        <f>IF(AND(Table1[[#This Row],[OrderDate]]&gt;=DATE(2023,7,30),Table1[[#This Row],[OrderDate]]&lt;=DATE(2023,8,5)),"Week 1",
 IF(AND(Table1[[#This Row],[OrderDate]]&gt;=DATE(2023,8,6),Table1[[#This Row],[OrderDate]]&lt;=DATE(2023,8,12)),"Week 2",
 IF(AND(Table1[[#This Row],[OrderDate]]&gt;=DATE(2023,8,13),Table1[[#This Row],[OrderDate]]&lt;=DATE(2023,8,19)),"Week 3",
 IF(AND(Table1[[#This Row],[OrderDate]]&gt;=DATE(2023,8,20),Table1[[#This Row],[OrderDate]]&lt;=DATE(2023,8,26)),"Week 4","Week 5"))))</f>
        <v>Week 4</v>
      </c>
      <c r="Q110" s="2">
        <v>45165</v>
      </c>
      <c r="R110" s="2" t="str">
        <f>TEXT(Table1[[#This Row],[ShipDate]],"dddd")</f>
        <v>Sunday</v>
      </c>
      <c r="S110" t="s">
        <v>24</v>
      </c>
      <c r="T110">
        <v>3</v>
      </c>
      <c r="U110" t="str">
        <f>IF(Table1[[#This Row],[DateDifference]]&lt;7,"Within Target","Outside Target")</f>
        <v>Within Target</v>
      </c>
      <c r="V110" t="s">
        <v>29</v>
      </c>
    </row>
    <row r="111" spans="1:22" x14ac:dyDescent="0.3">
      <c r="A111">
        <v>269</v>
      </c>
      <c r="B111">
        <v>2</v>
      </c>
      <c r="C111" t="s">
        <v>27</v>
      </c>
      <c r="D111" t="s">
        <v>28</v>
      </c>
      <c r="E111" s="1">
        <v>0.35</v>
      </c>
      <c r="F111">
        <v>46.51</v>
      </c>
      <c r="G111">
        <v>1302.28</v>
      </c>
      <c r="H111">
        <v>62.788499999999999</v>
      </c>
      <c r="I111">
        <f>Table1[[#This Row],[CookiesShipped]]*Table1[[#This Row],[Selling Price]]</f>
        <v>1758.078</v>
      </c>
      <c r="J111">
        <v>28</v>
      </c>
      <c r="K111">
        <v>1758.078</v>
      </c>
      <c r="L111">
        <v>455.798</v>
      </c>
      <c r="M111">
        <v>0.25925925925925924</v>
      </c>
      <c r="N111" s="2">
        <v>45161</v>
      </c>
      <c r="O111" s="2" t="str">
        <f>TEXT(Table1[[#This Row],[OrderDate]],"dddd")</f>
        <v>Wednesday</v>
      </c>
      <c r="P111" s="2" t="str">
        <f>IF(AND(Table1[[#This Row],[OrderDate]]&gt;=DATE(2023,7,30),Table1[[#This Row],[OrderDate]]&lt;=DATE(2023,8,5)),"Week 1",
 IF(AND(Table1[[#This Row],[OrderDate]]&gt;=DATE(2023,8,6),Table1[[#This Row],[OrderDate]]&lt;=DATE(2023,8,12)),"Week 2",
 IF(AND(Table1[[#This Row],[OrderDate]]&gt;=DATE(2023,8,13),Table1[[#This Row],[OrderDate]]&lt;=DATE(2023,8,19)),"Week 3",
 IF(AND(Table1[[#This Row],[OrderDate]]&gt;=DATE(2023,8,20),Table1[[#This Row],[OrderDate]]&lt;=DATE(2023,8,26)),"Week 4","Week 5"))))</f>
        <v>Week 4</v>
      </c>
      <c r="Q111" s="2">
        <v>45163</v>
      </c>
      <c r="R111" s="2" t="str">
        <f>TEXT(Table1[[#This Row],[ShipDate]],"dddd")</f>
        <v>Friday</v>
      </c>
      <c r="S111" t="s">
        <v>24</v>
      </c>
      <c r="T111">
        <v>2</v>
      </c>
      <c r="U111" t="str">
        <f>IF(Table1[[#This Row],[DateDifference]]&lt;7,"Within Target","Outside Target")</f>
        <v>Within Target</v>
      </c>
      <c r="V111" t="s">
        <v>26</v>
      </c>
    </row>
    <row r="112" spans="1:22" x14ac:dyDescent="0.3">
      <c r="A112">
        <v>271</v>
      </c>
      <c r="B112">
        <v>2</v>
      </c>
      <c r="C112" t="s">
        <v>27</v>
      </c>
      <c r="D112" t="s">
        <v>28</v>
      </c>
      <c r="E112" s="1">
        <v>0.35</v>
      </c>
      <c r="F112">
        <v>11.86</v>
      </c>
      <c r="G112">
        <v>1126.7</v>
      </c>
      <c r="H112">
        <v>16.010999999999999</v>
      </c>
      <c r="I112">
        <f>Table1[[#This Row],[CookiesShipped]]*Table1[[#This Row],[Selling Price]]</f>
        <v>1521.0449999999998</v>
      </c>
      <c r="J112">
        <v>95</v>
      </c>
      <c r="K112">
        <v>1521.0449999999998</v>
      </c>
      <c r="L112">
        <v>394.3449999999998</v>
      </c>
      <c r="M112">
        <v>0.25925925925925913</v>
      </c>
      <c r="N112" s="2">
        <v>45146</v>
      </c>
      <c r="O112" s="2" t="str">
        <f>TEXT(Table1[[#This Row],[OrderDate]],"dddd")</f>
        <v>Tuesday</v>
      </c>
      <c r="P112" s="2" t="str">
        <f>IF(AND(Table1[[#This Row],[OrderDate]]&gt;=DATE(2023,7,30),Table1[[#This Row],[OrderDate]]&lt;=DATE(2023,8,5)),"Week 1",
 IF(AND(Table1[[#This Row],[OrderDate]]&gt;=DATE(2023,8,6),Table1[[#This Row],[OrderDate]]&lt;=DATE(2023,8,12)),"Week 2",
 IF(AND(Table1[[#This Row],[OrderDate]]&gt;=DATE(2023,8,13),Table1[[#This Row],[OrderDate]]&lt;=DATE(2023,8,19)),"Week 3",
 IF(AND(Table1[[#This Row],[OrderDate]]&gt;=DATE(2023,8,20),Table1[[#This Row],[OrderDate]]&lt;=DATE(2023,8,26)),"Week 4","Week 5"))))</f>
        <v>Week 2</v>
      </c>
      <c r="Q112" s="2">
        <v>45160</v>
      </c>
      <c r="R112" s="2" t="str">
        <f>TEXT(Table1[[#This Row],[ShipDate]],"dddd")</f>
        <v>Tuesday</v>
      </c>
      <c r="S112" t="s">
        <v>24</v>
      </c>
      <c r="T112">
        <v>14</v>
      </c>
      <c r="U112" t="str">
        <f>IF(Table1[[#This Row],[DateDifference]]&lt;7,"Within Target","Outside Target")</f>
        <v>Outside Target</v>
      </c>
      <c r="V112" t="s">
        <v>32</v>
      </c>
    </row>
    <row r="113" spans="1:22" x14ac:dyDescent="0.3">
      <c r="A113">
        <v>272</v>
      </c>
      <c r="B113">
        <v>1</v>
      </c>
      <c r="C113" t="s">
        <v>22</v>
      </c>
      <c r="D113" t="s">
        <v>23</v>
      </c>
      <c r="E113" s="1">
        <v>0.35</v>
      </c>
      <c r="F113">
        <v>30.93</v>
      </c>
      <c r="G113">
        <v>1608.36</v>
      </c>
      <c r="H113">
        <v>41.755500000000005</v>
      </c>
      <c r="I113">
        <f>Table1[[#This Row],[CookiesShipped]]*Table1[[#This Row],[Selling Price]]</f>
        <v>2171.2860000000001</v>
      </c>
      <c r="J113">
        <v>52</v>
      </c>
      <c r="K113">
        <v>2171.2860000000001</v>
      </c>
      <c r="L113">
        <v>562.92600000000016</v>
      </c>
      <c r="M113">
        <v>0.2592592592592593</v>
      </c>
      <c r="N113" s="2">
        <v>45143</v>
      </c>
      <c r="O113" s="2" t="str">
        <f>TEXT(Table1[[#This Row],[OrderDate]],"dddd")</f>
        <v>Saturday</v>
      </c>
      <c r="P113" s="2" t="str">
        <f>IF(AND(Table1[[#This Row],[OrderDate]]&gt;=DATE(2023,7,30),Table1[[#This Row],[OrderDate]]&lt;=DATE(2023,8,5)),"Week 1",
 IF(AND(Table1[[#This Row],[OrderDate]]&gt;=DATE(2023,8,6),Table1[[#This Row],[OrderDate]]&lt;=DATE(2023,8,12)),"Week 2",
 IF(AND(Table1[[#This Row],[OrderDate]]&gt;=DATE(2023,8,13),Table1[[#This Row],[OrderDate]]&lt;=DATE(2023,8,19)),"Week 3",
 IF(AND(Table1[[#This Row],[OrderDate]]&gt;=DATE(2023,8,20),Table1[[#This Row],[OrderDate]]&lt;=DATE(2023,8,26)),"Week 4","Week 5"))))</f>
        <v>Week 1</v>
      </c>
      <c r="Q113" s="2">
        <v>45149</v>
      </c>
      <c r="R113" s="2" t="str">
        <f>TEXT(Table1[[#This Row],[ShipDate]],"dddd")</f>
        <v>Friday</v>
      </c>
      <c r="S113" t="s">
        <v>24</v>
      </c>
      <c r="T113">
        <v>6</v>
      </c>
      <c r="U113" t="str">
        <f>IF(Table1[[#This Row],[DateDifference]]&lt;7,"Within Target","Outside Target")</f>
        <v>Within Target</v>
      </c>
      <c r="V113" t="s">
        <v>25</v>
      </c>
    </row>
    <row r="114" spans="1:22" x14ac:dyDescent="0.3">
      <c r="A114">
        <v>273</v>
      </c>
      <c r="B114">
        <v>5</v>
      </c>
      <c r="C114" t="s">
        <v>30</v>
      </c>
      <c r="D114" t="s">
        <v>31</v>
      </c>
      <c r="E114" s="1">
        <v>0.35</v>
      </c>
      <c r="F114">
        <v>32.299999999999997</v>
      </c>
      <c r="G114">
        <v>2680.8999999999996</v>
      </c>
      <c r="H114">
        <v>43.604999999999997</v>
      </c>
      <c r="I114">
        <f>Table1[[#This Row],[CookiesShipped]]*Table1[[#This Row],[Selling Price]]</f>
        <v>3619.2149999999997</v>
      </c>
      <c r="J114">
        <v>83</v>
      </c>
      <c r="K114">
        <v>3619.2149999999997</v>
      </c>
      <c r="L114">
        <v>938.31500000000005</v>
      </c>
      <c r="M114">
        <v>0.2592592592592593</v>
      </c>
      <c r="N114" s="2">
        <v>45165</v>
      </c>
      <c r="O114" s="2" t="str">
        <f>TEXT(Table1[[#This Row],[OrderDate]],"dddd")</f>
        <v>Sunday</v>
      </c>
      <c r="P114" s="2" t="str">
        <f>IF(AND(Table1[[#This Row],[OrderDate]]&gt;=DATE(2023,7,30),Table1[[#This Row],[OrderDate]]&lt;=DATE(2023,8,5)),"Week 1",
 IF(AND(Table1[[#This Row],[OrderDate]]&gt;=DATE(2023,8,6),Table1[[#This Row],[OrderDate]]&lt;=DATE(2023,8,12)),"Week 2",
 IF(AND(Table1[[#This Row],[OrderDate]]&gt;=DATE(2023,8,13),Table1[[#This Row],[OrderDate]]&lt;=DATE(2023,8,19)),"Week 3",
 IF(AND(Table1[[#This Row],[OrderDate]]&gt;=DATE(2023,8,20),Table1[[#This Row],[OrderDate]]&lt;=DATE(2023,8,26)),"Week 4","Week 5"))))</f>
        <v>Week 5</v>
      </c>
      <c r="Q114" s="2">
        <v>45167</v>
      </c>
      <c r="R114" s="2" t="str">
        <f>TEXT(Table1[[#This Row],[ShipDate]],"dddd")</f>
        <v>Tuesday</v>
      </c>
      <c r="S114" t="s">
        <v>24</v>
      </c>
      <c r="T114">
        <v>2</v>
      </c>
      <c r="U114" t="str">
        <f>IF(Table1[[#This Row],[DateDifference]]&lt;7,"Within Target","Outside Target")</f>
        <v>Within Target</v>
      </c>
      <c r="V114" t="s">
        <v>38</v>
      </c>
    </row>
    <row r="115" spans="1:22" x14ac:dyDescent="0.3">
      <c r="A115">
        <v>274</v>
      </c>
      <c r="B115">
        <v>4</v>
      </c>
      <c r="C115" t="s">
        <v>36</v>
      </c>
      <c r="D115" t="s">
        <v>37</v>
      </c>
      <c r="E115" s="1">
        <v>0.35</v>
      </c>
      <c r="F115">
        <v>24.09</v>
      </c>
      <c r="G115">
        <v>385.44</v>
      </c>
      <c r="H115">
        <v>32.521500000000003</v>
      </c>
      <c r="I115">
        <f>Table1[[#This Row],[CookiesShipped]]*Table1[[#This Row],[Selling Price]]</f>
        <v>520.34400000000005</v>
      </c>
      <c r="J115">
        <v>16</v>
      </c>
      <c r="K115">
        <v>520.34400000000005</v>
      </c>
      <c r="L115">
        <v>134.90400000000005</v>
      </c>
      <c r="M115">
        <v>0.25925925925925936</v>
      </c>
      <c r="N115" s="2">
        <v>45146</v>
      </c>
      <c r="O115" s="2" t="str">
        <f>TEXT(Table1[[#This Row],[OrderDate]],"dddd")</f>
        <v>Tuesday</v>
      </c>
      <c r="P115" s="2" t="str">
        <f>IF(AND(Table1[[#This Row],[OrderDate]]&gt;=DATE(2023,7,30),Table1[[#This Row],[OrderDate]]&lt;=DATE(2023,8,5)),"Week 1",
 IF(AND(Table1[[#This Row],[OrderDate]]&gt;=DATE(2023,8,6),Table1[[#This Row],[OrderDate]]&lt;=DATE(2023,8,12)),"Week 2",
 IF(AND(Table1[[#This Row],[OrderDate]]&gt;=DATE(2023,8,13),Table1[[#This Row],[OrderDate]]&lt;=DATE(2023,8,19)),"Week 3",
 IF(AND(Table1[[#This Row],[OrderDate]]&gt;=DATE(2023,8,20),Table1[[#This Row],[OrderDate]]&lt;=DATE(2023,8,26)),"Week 4","Week 5"))))</f>
        <v>Week 2</v>
      </c>
      <c r="Q115" s="2">
        <v>45163</v>
      </c>
      <c r="R115" s="2" t="str">
        <f>TEXT(Table1[[#This Row],[ShipDate]],"dddd")</f>
        <v>Friday</v>
      </c>
      <c r="S115" t="s">
        <v>24</v>
      </c>
      <c r="T115">
        <v>17</v>
      </c>
      <c r="U115" t="str">
        <f>IF(Table1[[#This Row],[DateDifference]]&lt;7,"Within Target","Outside Target")</f>
        <v>Outside Target</v>
      </c>
      <c r="V115" t="s">
        <v>32</v>
      </c>
    </row>
    <row r="116" spans="1:22" x14ac:dyDescent="0.3">
      <c r="A116">
        <v>276</v>
      </c>
      <c r="B116">
        <v>1</v>
      </c>
      <c r="C116" t="s">
        <v>22</v>
      </c>
      <c r="D116" t="s">
        <v>23</v>
      </c>
      <c r="E116" s="1">
        <v>0.35</v>
      </c>
      <c r="F116">
        <v>47.05</v>
      </c>
      <c r="G116">
        <v>4657.95</v>
      </c>
      <c r="H116">
        <v>63.517499999999998</v>
      </c>
      <c r="I116">
        <f>Table1[[#This Row],[CookiesShipped]]*Table1[[#This Row],[Selling Price]]</f>
        <v>6288.2325000000001</v>
      </c>
      <c r="J116">
        <v>99</v>
      </c>
      <c r="K116">
        <v>6288.2325000000001</v>
      </c>
      <c r="L116">
        <v>1630.2825000000003</v>
      </c>
      <c r="M116">
        <v>0.2592592592592593</v>
      </c>
      <c r="N116" s="2">
        <v>45145</v>
      </c>
      <c r="O116" s="2" t="str">
        <f>TEXT(Table1[[#This Row],[OrderDate]],"dddd")</f>
        <v>Monday</v>
      </c>
      <c r="P116" s="2" t="str">
        <f>IF(AND(Table1[[#This Row],[OrderDate]]&gt;=DATE(2023,7,30),Table1[[#This Row],[OrderDate]]&lt;=DATE(2023,8,5)),"Week 1",
 IF(AND(Table1[[#This Row],[OrderDate]]&gt;=DATE(2023,8,6),Table1[[#This Row],[OrderDate]]&lt;=DATE(2023,8,12)),"Week 2",
 IF(AND(Table1[[#This Row],[OrderDate]]&gt;=DATE(2023,8,13),Table1[[#This Row],[OrderDate]]&lt;=DATE(2023,8,19)),"Week 3",
 IF(AND(Table1[[#This Row],[OrderDate]]&gt;=DATE(2023,8,20),Table1[[#This Row],[OrderDate]]&lt;=DATE(2023,8,26)),"Week 4","Week 5"))))</f>
        <v>Week 2</v>
      </c>
      <c r="Q116" s="2">
        <v>45164</v>
      </c>
      <c r="R116" s="2" t="str">
        <f>TEXT(Table1[[#This Row],[ShipDate]],"dddd")</f>
        <v>Saturday</v>
      </c>
      <c r="S116" t="s">
        <v>24</v>
      </c>
      <c r="T116">
        <v>19</v>
      </c>
      <c r="U116" t="str">
        <f>IF(Table1[[#This Row],[DateDifference]]&lt;7,"Within Target","Outside Target")</f>
        <v>Outside Target</v>
      </c>
      <c r="V116" t="s">
        <v>39</v>
      </c>
    </row>
    <row r="117" spans="1:22" x14ac:dyDescent="0.3">
      <c r="A117">
        <v>277</v>
      </c>
      <c r="B117">
        <v>4</v>
      </c>
      <c r="C117" t="s">
        <v>36</v>
      </c>
      <c r="D117" t="s">
        <v>37</v>
      </c>
      <c r="E117" s="1">
        <v>0.35</v>
      </c>
      <c r="F117">
        <v>46.65</v>
      </c>
      <c r="G117">
        <v>559.79999999999995</v>
      </c>
      <c r="H117">
        <v>62.977499999999999</v>
      </c>
      <c r="I117">
        <f>Table1[[#This Row],[CookiesShipped]]*Table1[[#This Row],[Selling Price]]</f>
        <v>755.73</v>
      </c>
      <c r="J117">
        <v>12</v>
      </c>
      <c r="K117">
        <v>755.73</v>
      </c>
      <c r="L117">
        <v>195.93000000000006</v>
      </c>
      <c r="M117">
        <v>0.25925925925925936</v>
      </c>
      <c r="N117" s="2">
        <v>45149</v>
      </c>
      <c r="O117" s="2" t="str">
        <f>TEXT(Table1[[#This Row],[OrderDate]],"dddd")</f>
        <v>Friday</v>
      </c>
      <c r="P117" s="2" t="str">
        <f>IF(AND(Table1[[#This Row],[OrderDate]]&gt;=DATE(2023,7,30),Table1[[#This Row],[OrderDate]]&lt;=DATE(2023,8,5)),"Week 1",
 IF(AND(Table1[[#This Row],[OrderDate]]&gt;=DATE(2023,8,6),Table1[[#This Row],[OrderDate]]&lt;=DATE(2023,8,12)),"Week 2",
 IF(AND(Table1[[#This Row],[OrderDate]]&gt;=DATE(2023,8,13),Table1[[#This Row],[OrderDate]]&lt;=DATE(2023,8,19)),"Week 3",
 IF(AND(Table1[[#This Row],[OrderDate]]&gt;=DATE(2023,8,20),Table1[[#This Row],[OrderDate]]&lt;=DATE(2023,8,26)),"Week 4","Week 5"))))</f>
        <v>Week 2</v>
      </c>
      <c r="Q117" s="2">
        <v>45168</v>
      </c>
      <c r="R117" s="2" t="str">
        <f>TEXT(Table1[[#This Row],[ShipDate]],"dddd")</f>
        <v>Wednesday</v>
      </c>
      <c r="S117" t="s">
        <v>24</v>
      </c>
      <c r="T117">
        <v>19</v>
      </c>
      <c r="U117" t="str">
        <f>IF(Table1[[#This Row],[DateDifference]]&lt;7,"Within Target","Outside Target")</f>
        <v>Outside Target</v>
      </c>
      <c r="V117" t="s">
        <v>35</v>
      </c>
    </row>
    <row r="118" spans="1:22" x14ac:dyDescent="0.3">
      <c r="A118">
        <v>278</v>
      </c>
      <c r="B118">
        <v>5</v>
      </c>
      <c r="C118" t="s">
        <v>30</v>
      </c>
      <c r="D118" t="s">
        <v>31</v>
      </c>
      <c r="E118" s="1">
        <v>0.35</v>
      </c>
      <c r="F118">
        <v>25.29</v>
      </c>
      <c r="G118">
        <v>632.25</v>
      </c>
      <c r="H118">
        <v>34.141500000000001</v>
      </c>
      <c r="I118">
        <f>Table1[[#This Row],[CookiesShipped]]*Table1[[#This Row],[Selling Price]]</f>
        <v>853.53750000000002</v>
      </c>
      <c r="J118">
        <v>25</v>
      </c>
      <c r="K118">
        <v>853.53750000000002</v>
      </c>
      <c r="L118">
        <v>221.28750000000002</v>
      </c>
      <c r="M118">
        <v>0.2592592592592593</v>
      </c>
      <c r="N118" s="2">
        <v>45147</v>
      </c>
      <c r="O118" s="2" t="str">
        <f>TEXT(Table1[[#This Row],[OrderDate]],"dddd")</f>
        <v>Wednesday</v>
      </c>
      <c r="P118" s="2" t="str">
        <f>IF(AND(Table1[[#This Row],[OrderDate]]&gt;=DATE(2023,7,30),Table1[[#This Row],[OrderDate]]&lt;=DATE(2023,8,5)),"Week 1",
 IF(AND(Table1[[#This Row],[OrderDate]]&gt;=DATE(2023,8,6),Table1[[#This Row],[OrderDate]]&lt;=DATE(2023,8,12)),"Week 2",
 IF(AND(Table1[[#This Row],[OrderDate]]&gt;=DATE(2023,8,13),Table1[[#This Row],[OrderDate]]&lt;=DATE(2023,8,19)),"Week 3",
 IF(AND(Table1[[#This Row],[OrderDate]]&gt;=DATE(2023,8,20),Table1[[#This Row],[OrderDate]]&lt;=DATE(2023,8,26)),"Week 4","Week 5"))))</f>
        <v>Week 2</v>
      </c>
      <c r="Q118" s="2">
        <v>45151</v>
      </c>
      <c r="R118" s="2" t="str">
        <f>TEXT(Table1[[#This Row],[ShipDate]],"dddd")</f>
        <v>Sunday</v>
      </c>
      <c r="S118" t="s">
        <v>24</v>
      </c>
      <c r="T118">
        <v>4</v>
      </c>
      <c r="U118" t="str">
        <f>IF(Table1[[#This Row],[DateDifference]]&lt;7,"Within Target","Outside Target")</f>
        <v>Within Target</v>
      </c>
      <c r="V118" t="s">
        <v>26</v>
      </c>
    </row>
    <row r="119" spans="1:22" x14ac:dyDescent="0.3">
      <c r="A119">
        <v>280</v>
      </c>
      <c r="B119">
        <v>1</v>
      </c>
      <c r="C119" t="s">
        <v>22</v>
      </c>
      <c r="D119" t="s">
        <v>23</v>
      </c>
      <c r="E119" s="1">
        <v>0.35</v>
      </c>
      <c r="F119">
        <v>49.32</v>
      </c>
      <c r="G119">
        <v>4192.2</v>
      </c>
      <c r="H119">
        <v>66.582000000000008</v>
      </c>
      <c r="I119">
        <f>Table1[[#This Row],[CookiesShipped]]*Table1[[#This Row],[Selling Price]]</f>
        <v>5659.47</v>
      </c>
      <c r="J119">
        <v>85</v>
      </c>
      <c r="K119">
        <v>5659.47</v>
      </c>
      <c r="L119">
        <v>1467.2700000000004</v>
      </c>
      <c r="M119">
        <v>0.2592592592592593</v>
      </c>
      <c r="N119" s="2">
        <v>45143</v>
      </c>
      <c r="O119" s="2" t="str">
        <f>TEXT(Table1[[#This Row],[OrderDate]],"dddd")</f>
        <v>Saturday</v>
      </c>
      <c r="P119" s="2" t="str">
        <f>IF(AND(Table1[[#This Row],[OrderDate]]&gt;=DATE(2023,7,30),Table1[[#This Row],[OrderDate]]&lt;=DATE(2023,8,5)),"Week 1",
 IF(AND(Table1[[#This Row],[OrderDate]]&gt;=DATE(2023,8,6),Table1[[#This Row],[OrderDate]]&lt;=DATE(2023,8,12)),"Week 2",
 IF(AND(Table1[[#This Row],[OrderDate]]&gt;=DATE(2023,8,13),Table1[[#This Row],[OrderDate]]&lt;=DATE(2023,8,19)),"Week 3",
 IF(AND(Table1[[#This Row],[OrderDate]]&gt;=DATE(2023,8,20),Table1[[#This Row],[OrderDate]]&lt;=DATE(2023,8,26)),"Week 4","Week 5"))))</f>
        <v>Week 1</v>
      </c>
      <c r="Q119" s="2">
        <v>45149</v>
      </c>
      <c r="R119" s="2" t="str">
        <f>TEXT(Table1[[#This Row],[ShipDate]],"dddd")</f>
        <v>Friday</v>
      </c>
      <c r="S119" t="s">
        <v>24</v>
      </c>
      <c r="T119">
        <v>6</v>
      </c>
      <c r="U119" t="str">
        <f>IF(Table1[[#This Row],[DateDifference]]&lt;7,"Within Target","Outside Target")</f>
        <v>Within Target</v>
      </c>
      <c r="V119" t="s">
        <v>25</v>
      </c>
    </row>
    <row r="120" spans="1:22" x14ac:dyDescent="0.3">
      <c r="A120">
        <v>281</v>
      </c>
      <c r="B120">
        <v>4</v>
      </c>
      <c r="C120" t="s">
        <v>36</v>
      </c>
      <c r="D120" t="s">
        <v>37</v>
      </c>
      <c r="E120" s="1">
        <v>0.35</v>
      </c>
      <c r="F120">
        <v>42.75</v>
      </c>
      <c r="G120">
        <v>4275</v>
      </c>
      <c r="H120">
        <v>57.712500000000006</v>
      </c>
      <c r="I120">
        <f>Table1[[#This Row],[CookiesShipped]]*Table1[[#This Row],[Selling Price]]</f>
        <v>5771.2500000000009</v>
      </c>
      <c r="J120">
        <v>100</v>
      </c>
      <c r="K120">
        <v>5771.2500000000009</v>
      </c>
      <c r="L120">
        <v>1496.2500000000009</v>
      </c>
      <c r="M120">
        <v>0.25925925925925936</v>
      </c>
      <c r="N120" s="2">
        <v>45145</v>
      </c>
      <c r="O120" s="2" t="str">
        <f>TEXT(Table1[[#This Row],[OrderDate]],"dddd")</f>
        <v>Monday</v>
      </c>
      <c r="P120" s="2" t="str">
        <f>IF(AND(Table1[[#This Row],[OrderDate]]&gt;=DATE(2023,7,30),Table1[[#This Row],[OrderDate]]&lt;=DATE(2023,8,5)),"Week 1",
 IF(AND(Table1[[#This Row],[OrderDate]]&gt;=DATE(2023,8,6),Table1[[#This Row],[OrderDate]]&lt;=DATE(2023,8,12)),"Week 2",
 IF(AND(Table1[[#This Row],[OrderDate]]&gt;=DATE(2023,8,13),Table1[[#This Row],[OrderDate]]&lt;=DATE(2023,8,19)),"Week 3",
 IF(AND(Table1[[#This Row],[OrderDate]]&gt;=DATE(2023,8,20),Table1[[#This Row],[OrderDate]]&lt;=DATE(2023,8,26)),"Week 4","Week 5"))))</f>
        <v>Week 2</v>
      </c>
      <c r="Q120" s="2">
        <v>45163</v>
      </c>
      <c r="R120" s="2" t="str">
        <f>TEXT(Table1[[#This Row],[ShipDate]],"dddd")</f>
        <v>Friday</v>
      </c>
      <c r="S120" t="s">
        <v>24</v>
      </c>
      <c r="T120">
        <v>18</v>
      </c>
      <c r="U120" t="str">
        <f>IF(Table1[[#This Row],[DateDifference]]&lt;7,"Within Target","Outside Target")</f>
        <v>Outside Target</v>
      </c>
      <c r="V120" t="s">
        <v>39</v>
      </c>
    </row>
    <row r="121" spans="1:22" x14ac:dyDescent="0.3">
      <c r="A121">
        <v>282</v>
      </c>
      <c r="B121">
        <v>3</v>
      </c>
      <c r="C121" t="s">
        <v>33</v>
      </c>
      <c r="D121" t="s">
        <v>34</v>
      </c>
      <c r="E121" s="1">
        <v>0.35</v>
      </c>
      <c r="F121">
        <v>10.61</v>
      </c>
      <c r="G121">
        <v>562.32999999999993</v>
      </c>
      <c r="H121">
        <v>14.323500000000001</v>
      </c>
      <c r="I121">
        <f>Table1[[#This Row],[CookiesShipped]]*Table1[[#This Row],[Selling Price]]</f>
        <v>759.14550000000008</v>
      </c>
      <c r="J121">
        <v>53</v>
      </c>
      <c r="K121">
        <v>759.14550000000008</v>
      </c>
      <c r="L121">
        <v>196.81550000000016</v>
      </c>
      <c r="M121">
        <v>0.25925925925925941</v>
      </c>
      <c r="N121" s="2">
        <v>45144</v>
      </c>
      <c r="O121" s="2" t="str">
        <f>TEXT(Table1[[#This Row],[OrderDate]],"dddd")</f>
        <v>Sunday</v>
      </c>
      <c r="P121" s="2" t="str">
        <f>IF(AND(Table1[[#This Row],[OrderDate]]&gt;=DATE(2023,7,30),Table1[[#This Row],[OrderDate]]&lt;=DATE(2023,8,5)),"Week 1",
 IF(AND(Table1[[#This Row],[OrderDate]]&gt;=DATE(2023,8,6),Table1[[#This Row],[OrderDate]]&lt;=DATE(2023,8,12)),"Week 2",
 IF(AND(Table1[[#This Row],[OrderDate]]&gt;=DATE(2023,8,13),Table1[[#This Row],[OrderDate]]&lt;=DATE(2023,8,19)),"Week 3",
 IF(AND(Table1[[#This Row],[OrderDate]]&gt;=DATE(2023,8,20),Table1[[#This Row],[OrderDate]]&lt;=DATE(2023,8,26)),"Week 4","Week 5"))))</f>
        <v>Week 2</v>
      </c>
      <c r="Q121" s="2">
        <v>45153</v>
      </c>
      <c r="R121" s="2" t="str">
        <f>TEXT(Table1[[#This Row],[ShipDate]],"dddd")</f>
        <v>Tuesday</v>
      </c>
      <c r="S121" t="s">
        <v>24</v>
      </c>
      <c r="T121">
        <v>9</v>
      </c>
      <c r="U121" t="str">
        <f>IF(Table1[[#This Row],[DateDifference]]&lt;7,"Within Target","Outside Target")</f>
        <v>Outside Target</v>
      </c>
      <c r="V121" t="s">
        <v>38</v>
      </c>
    </row>
    <row r="122" spans="1:22" x14ac:dyDescent="0.3">
      <c r="A122">
        <v>284</v>
      </c>
      <c r="B122">
        <v>2</v>
      </c>
      <c r="C122" t="s">
        <v>27</v>
      </c>
      <c r="D122" t="s">
        <v>28</v>
      </c>
      <c r="E122" s="1">
        <v>0.35</v>
      </c>
      <c r="F122">
        <v>44.15</v>
      </c>
      <c r="G122">
        <v>706.4</v>
      </c>
      <c r="H122">
        <v>59.602499999999999</v>
      </c>
      <c r="I122">
        <f>Table1[[#This Row],[CookiesShipped]]*Table1[[#This Row],[Selling Price]]</f>
        <v>953.64</v>
      </c>
      <c r="J122">
        <v>16</v>
      </c>
      <c r="K122">
        <v>953.64</v>
      </c>
      <c r="L122">
        <v>247.24</v>
      </c>
      <c r="M122">
        <v>0.25925925925925924</v>
      </c>
      <c r="N122" s="2">
        <v>45156</v>
      </c>
      <c r="O122" s="2" t="str">
        <f>TEXT(Table1[[#This Row],[OrderDate]],"dddd")</f>
        <v>Friday</v>
      </c>
      <c r="P122" s="2" t="str">
        <f>IF(AND(Table1[[#This Row],[OrderDate]]&gt;=DATE(2023,7,30),Table1[[#This Row],[OrderDate]]&lt;=DATE(2023,8,5)),"Week 1",
 IF(AND(Table1[[#This Row],[OrderDate]]&gt;=DATE(2023,8,6),Table1[[#This Row],[OrderDate]]&lt;=DATE(2023,8,12)),"Week 2",
 IF(AND(Table1[[#This Row],[OrderDate]]&gt;=DATE(2023,8,13),Table1[[#This Row],[OrderDate]]&lt;=DATE(2023,8,19)),"Week 3",
 IF(AND(Table1[[#This Row],[OrderDate]]&gt;=DATE(2023,8,20),Table1[[#This Row],[OrderDate]]&lt;=DATE(2023,8,26)),"Week 4","Week 5"))))</f>
        <v>Week 3</v>
      </c>
      <c r="Q122" s="2">
        <v>45170</v>
      </c>
      <c r="R122" s="2" t="str">
        <f>TEXT(Table1[[#This Row],[ShipDate]],"dddd")</f>
        <v>Friday</v>
      </c>
      <c r="S122" t="s">
        <v>24</v>
      </c>
      <c r="T122">
        <v>14</v>
      </c>
      <c r="U122" t="str">
        <f>IF(Table1[[#This Row],[DateDifference]]&lt;7,"Within Target","Outside Target")</f>
        <v>Outside Target</v>
      </c>
      <c r="V122" t="s">
        <v>35</v>
      </c>
    </row>
    <row r="123" spans="1:22" x14ac:dyDescent="0.3">
      <c r="A123">
        <v>285</v>
      </c>
      <c r="B123">
        <v>2</v>
      </c>
      <c r="C123" t="s">
        <v>27</v>
      </c>
      <c r="D123" t="s">
        <v>28</v>
      </c>
      <c r="E123" s="1">
        <v>0.35</v>
      </c>
      <c r="F123">
        <v>28.35</v>
      </c>
      <c r="G123">
        <v>1615.95</v>
      </c>
      <c r="H123">
        <v>38.272500000000008</v>
      </c>
      <c r="I123">
        <f>Table1[[#This Row],[CookiesShipped]]*Table1[[#This Row],[Selling Price]]</f>
        <v>2181.5325000000003</v>
      </c>
      <c r="J123">
        <v>57</v>
      </c>
      <c r="K123">
        <v>2181.5325000000003</v>
      </c>
      <c r="L123">
        <v>565.58250000000021</v>
      </c>
      <c r="M123">
        <v>0.2592592592592593</v>
      </c>
      <c r="N123" s="2">
        <v>45148</v>
      </c>
      <c r="O123" s="2" t="str">
        <f>TEXT(Table1[[#This Row],[OrderDate]],"dddd")</f>
        <v>Thursday</v>
      </c>
      <c r="P123" s="2" t="str">
        <f>IF(AND(Table1[[#This Row],[OrderDate]]&gt;=DATE(2023,7,30),Table1[[#This Row],[OrderDate]]&lt;=DATE(2023,8,5)),"Week 1",
 IF(AND(Table1[[#This Row],[OrderDate]]&gt;=DATE(2023,8,6),Table1[[#This Row],[OrderDate]]&lt;=DATE(2023,8,12)),"Week 2",
 IF(AND(Table1[[#This Row],[OrderDate]]&gt;=DATE(2023,8,13),Table1[[#This Row],[OrderDate]]&lt;=DATE(2023,8,19)),"Week 3",
 IF(AND(Table1[[#This Row],[OrderDate]]&gt;=DATE(2023,8,20),Table1[[#This Row],[OrderDate]]&lt;=DATE(2023,8,26)),"Week 4","Week 5"))))</f>
        <v>Week 2</v>
      </c>
      <c r="Q123" s="2">
        <v>45162</v>
      </c>
      <c r="R123" s="2" t="str">
        <f>TEXT(Table1[[#This Row],[ShipDate]],"dddd")</f>
        <v>Thursday</v>
      </c>
      <c r="S123" t="s">
        <v>24</v>
      </c>
      <c r="T123">
        <v>14</v>
      </c>
      <c r="U123" t="str">
        <f>IF(Table1[[#This Row],[DateDifference]]&lt;7,"Within Target","Outside Target")</f>
        <v>Outside Target</v>
      </c>
      <c r="V123" t="s">
        <v>29</v>
      </c>
    </row>
    <row r="124" spans="1:22" x14ac:dyDescent="0.3">
      <c r="A124">
        <v>286</v>
      </c>
      <c r="B124">
        <v>3</v>
      </c>
      <c r="C124" t="s">
        <v>33</v>
      </c>
      <c r="D124" t="s">
        <v>34</v>
      </c>
      <c r="E124" s="1">
        <v>0.35</v>
      </c>
      <c r="F124">
        <v>31.61</v>
      </c>
      <c r="G124">
        <v>1232.79</v>
      </c>
      <c r="H124">
        <v>42.673500000000004</v>
      </c>
      <c r="I124">
        <f>Table1[[#This Row],[CookiesShipped]]*Table1[[#This Row],[Selling Price]]</f>
        <v>1664.2665000000002</v>
      </c>
      <c r="J124">
        <v>39</v>
      </c>
      <c r="K124">
        <v>1664.2665000000002</v>
      </c>
      <c r="L124">
        <v>431.47650000000021</v>
      </c>
      <c r="M124">
        <v>0.25925925925925936</v>
      </c>
      <c r="N124" s="2">
        <v>45147</v>
      </c>
      <c r="O124" s="2" t="str">
        <f>TEXT(Table1[[#This Row],[OrderDate]],"dddd")</f>
        <v>Wednesday</v>
      </c>
      <c r="P124" s="2" t="str">
        <f>IF(AND(Table1[[#This Row],[OrderDate]]&gt;=DATE(2023,7,30),Table1[[#This Row],[OrderDate]]&lt;=DATE(2023,8,5)),"Week 1",
 IF(AND(Table1[[#This Row],[OrderDate]]&gt;=DATE(2023,8,6),Table1[[#This Row],[OrderDate]]&lt;=DATE(2023,8,12)),"Week 2",
 IF(AND(Table1[[#This Row],[OrderDate]]&gt;=DATE(2023,8,13),Table1[[#This Row],[OrderDate]]&lt;=DATE(2023,8,19)),"Week 3",
 IF(AND(Table1[[#This Row],[OrderDate]]&gt;=DATE(2023,8,20),Table1[[#This Row],[OrderDate]]&lt;=DATE(2023,8,26)),"Week 4","Week 5"))))</f>
        <v>Week 2</v>
      </c>
      <c r="Q124" s="2">
        <v>45157</v>
      </c>
      <c r="R124" s="2" t="str">
        <f>TEXT(Table1[[#This Row],[ShipDate]],"dddd")</f>
        <v>Saturday</v>
      </c>
      <c r="S124" t="s">
        <v>24</v>
      </c>
      <c r="T124">
        <v>10</v>
      </c>
      <c r="U124" t="str">
        <f>IF(Table1[[#This Row],[DateDifference]]&lt;7,"Within Target","Outside Target")</f>
        <v>Outside Target</v>
      </c>
      <c r="V124" t="s">
        <v>26</v>
      </c>
    </row>
    <row r="125" spans="1:22" x14ac:dyDescent="0.3">
      <c r="A125">
        <v>287</v>
      </c>
      <c r="B125">
        <v>1</v>
      </c>
      <c r="C125" t="s">
        <v>22</v>
      </c>
      <c r="D125" t="s">
        <v>23</v>
      </c>
      <c r="E125" s="1">
        <v>0.35</v>
      </c>
      <c r="F125">
        <v>22.96</v>
      </c>
      <c r="G125">
        <v>1216.8800000000001</v>
      </c>
      <c r="H125">
        <v>30.996000000000002</v>
      </c>
      <c r="I125">
        <f>Table1[[#This Row],[CookiesShipped]]*Table1[[#This Row],[Selling Price]]</f>
        <v>1642.788</v>
      </c>
      <c r="J125">
        <v>53</v>
      </c>
      <c r="K125">
        <v>1642.788</v>
      </c>
      <c r="L125">
        <v>425.9079999999999</v>
      </c>
      <c r="M125">
        <v>0.25925925925925919</v>
      </c>
      <c r="N125" s="2">
        <v>45150</v>
      </c>
      <c r="O125" s="2" t="str">
        <f>TEXT(Table1[[#This Row],[OrderDate]],"dddd")</f>
        <v>Saturday</v>
      </c>
      <c r="P125" s="2" t="str">
        <f>IF(AND(Table1[[#This Row],[OrderDate]]&gt;=DATE(2023,7,30),Table1[[#This Row],[OrderDate]]&lt;=DATE(2023,8,5)),"Week 1",
 IF(AND(Table1[[#This Row],[OrderDate]]&gt;=DATE(2023,8,6),Table1[[#This Row],[OrderDate]]&lt;=DATE(2023,8,12)),"Week 2",
 IF(AND(Table1[[#This Row],[OrderDate]]&gt;=DATE(2023,8,13),Table1[[#This Row],[OrderDate]]&lt;=DATE(2023,8,19)),"Week 3",
 IF(AND(Table1[[#This Row],[OrderDate]]&gt;=DATE(2023,8,20),Table1[[#This Row],[OrderDate]]&lt;=DATE(2023,8,26)),"Week 4","Week 5"))))</f>
        <v>Week 2</v>
      </c>
      <c r="Q125" s="2">
        <v>45166</v>
      </c>
      <c r="R125" s="2" t="str">
        <f>TEXT(Table1[[#This Row],[ShipDate]],"dddd")</f>
        <v>Monday</v>
      </c>
      <c r="S125" t="s">
        <v>24</v>
      </c>
      <c r="T125">
        <v>16</v>
      </c>
      <c r="U125" t="str">
        <f>IF(Table1[[#This Row],[DateDifference]]&lt;7,"Within Target","Outside Target")</f>
        <v>Outside Target</v>
      </c>
      <c r="V125" t="s">
        <v>25</v>
      </c>
    </row>
    <row r="126" spans="1:22" x14ac:dyDescent="0.3">
      <c r="A126">
        <v>288</v>
      </c>
      <c r="B126">
        <v>2</v>
      </c>
      <c r="C126" t="s">
        <v>27</v>
      </c>
      <c r="D126" t="s">
        <v>28</v>
      </c>
      <c r="E126" s="1">
        <v>0.35</v>
      </c>
      <c r="F126">
        <v>7.46</v>
      </c>
      <c r="G126">
        <v>313.32</v>
      </c>
      <c r="H126">
        <v>10.071</v>
      </c>
      <c r="I126">
        <f>Table1[[#This Row],[CookiesShipped]]*Table1[[#This Row],[Selling Price]]</f>
        <v>422.98199999999997</v>
      </c>
      <c r="J126">
        <v>42</v>
      </c>
      <c r="K126">
        <v>422.98199999999997</v>
      </c>
      <c r="L126">
        <v>109.66199999999998</v>
      </c>
      <c r="M126">
        <v>0.25925925925925924</v>
      </c>
      <c r="N126" s="2">
        <v>45154</v>
      </c>
      <c r="O126" s="2" t="str">
        <f>TEXT(Table1[[#This Row],[OrderDate]],"dddd")</f>
        <v>Wednesday</v>
      </c>
      <c r="P126" s="2" t="str">
        <f>IF(AND(Table1[[#This Row],[OrderDate]]&gt;=DATE(2023,7,30),Table1[[#This Row],[OrderDate]]&lt;=DATE(2023,8,5)),"Week 1",
 IF(AND(Table1[[#This Row],[OrderDate]]&gt;=DATE(2023,8,6),Table1[[#This Row],[OrderDate]]&lt;=DATE(2023,8,12)),"Week 2",
 IF(AND(Table1[[#This Row],[OrderDate]]&gt;=DATE(2023,8,13),Table1[[#This Row],[OrderDate]]&lt;=DATE(2023,8,19)),"Week 3",
 IF(AND(Table1[[#This Row],[OrderDate]]&gt;=DATE(2023,8,20),Table1[[#This Row],[OrderDate]]&lt;=DATE(2023,8,26)),"Week 4","Week 5"))))</f>
        <v>Week 3</v>
      </c>
      <c r="Q126" s="2">
        <v>45170</v>
      </c>
      <c r="R126" s="2" t="str">
        <f>TEXT(Table1[[#This Row],[ShipDate]],"dddd")</f>
        <v>Friday</v>
      </c>
      <c r="S126" t="s">
        <v>24</v>
      </c>
      <c r="T126">
        <v>16</v>
      </c>
      <c r="U126" t="str">
        <f>IF(Table1[[#This Row],[DateDifference]]&lt;7,"Within Target","Outside Target")</f>
        <v>Outside Target</v>
      </c>
      <c r="V126" t="s">
        <v>26</v>
      </c>
    </row>
    <row r="127" spans="1:22" x14ac:dyDescent="0.3">
      <c r="A127">
        <v>289</v>
      </c>
      <c r="B127">
        <v>5</v>
      </c>
      <c r="C127" t="s">
        <v>30</v>
      </c>
      <c r="D127" t="s">
        <v>31</v>
      </c>
      <c r="E127" s="1">
        <v>0.35</v>
      </c>
      <c r="F127">
        <v>20.079999999999998</v>
      </c>
      <c r="G127">
        <v>1164.6399999999999</v>
      </c>
      <c r="H127">
        <v>27.108000000000001</v>
      </c>
      <c r="I127">
        <f>Table1[[#This Row],[CookiesShipped]]*Table1[[#This Row],[Selling Price]]</f>
        <v>1572.2640000000001</v>
      </c>
      <c r="J127">
        <v>58</v>
      </c>
      <c r="K127">
        <v>1572.2640000000001</v>
      </c>
      <c r="L127">
        <v>407.62400000000025</v>
      </c>
      <c r="M127">
        <v>0.25925925925925941</v>
      </c>
      <c r="N127" s="2">
        <v>45143</v>
      </c>
      <c r="O127" s="2" t="str">
        <f>TEXT(Table1[[#This Row],[OrderDate]],"dddd")</f>
        <v>Saturday</v>
      </c>
      <c r="P127" s="2" t="str">
        <f>IF(AND(Table1[[#This Row],[OrderDate]]&gt;=DATE(2023,7,30),Table1[[#This Row],[OrderDate]]&lt;=DATE(2023,8,5)),"Week 1",
 IF(AND(Table1[[#This Row],[OrderDate]]&gt;=DATE(2023,8,6),Table1[[#This Row],[OrderDate]]&lt;=DATE(2023,8,12)),"Week 2",
 IF(AND(Table1[[#This Row],[OrderDate]]&gt;=DATE(2023,8,13),Table1[[#This Row],[OrderDate]]&lt;=DATE(2023,8,19)),"Week 3",
 IF(AND(Table1[[#This Row],[OrderDate]]&gt;=DATE(2023,8,20),Table1[[#This Row],[OrderDate]]&lt;=DATE(2023,8,26)),"Week 4","Week 5"))))</f>
        <v>Week 1</v>
      </c>
      <c r="Q127" s="2">
        <v>45162</v>
      </c>
      <c r="R127" s="2" t="str">
        <f>TEXT(Table1[[#This Row],[ShipDate]],"dddd")</f>
        <v>Thursday</v>
      </c>
      <c r="S127" t="s">
        <v>24</v>
      </c>
      <c r="T127">
        <v>19</v>
      </c>
      <c r="U127" t="str">
        <f>IF(Table1[[#This Row],[DateDifference]]&lt;7,"Within Target","Outside Target")</f>
        <v>Outside Target</v>
      </c>
      <c r="V127" t="s">
        <v>25</v>
      </c>
    </row>
    <row r="128" spans="1:22" x14ac:dyDescent="0.3">
      <c r="A128">
        <v>291</v>
      </c>
      <c r="B128">
        <v>2</v>
      </c>
      <c r="C128" t="s">
        <v>27</v>
      </c>
      <c r="D128" t="s">
        <v>28</v>
      </c>
      <c r="E128" s="1">
        <v>0.35</v>
      </c>
      <c r="F128">
        <v>5.21</v>
      </c>
      <c r="G128">
        <v>72.94</v>
      </c>
      <c r="H128">
        <v>7.0335000000000001</v>
      </c>
      <c r="I128">
        <f>Table1[[#This Row],[CookiesShipped]]*Table1[[#This Row],[Selling Price]]</f>
        <v>98.468999999999994</v>
      </c>
      <c r="J128">
        <v>14</v>
      </c>
      <c r="K128">
        <v>98.468999999999994</v>
      </c>
      <c r="L128">
        <v>25.528999999999996</v>
      </c>
      <c r="M128">
        <v>0.25925925925925924</v>
      </c>
      <c r="N128" s="2">
        <v>45144</v>
      </c>
      <c r="O128" s="2" t="str">
        <f>TEXT(Table1[[#This Row],[OrderDate]],"dddd")</f>
        <v>Sunday</v>
      </c>
      <c r="P128" s="2" t="str">
        <f>IF(AND(Table1[[#This Row],[OrderDate]]&gt;=DATE(2023,7,30),Table1[[#This Row],[OrderDate]]&lt;=DATE(2023,8,5)),"Week 1",
 IF(AND(Table1[[#This Row],[OrderDate]]&gt;=DATE(2023,8,6),Table1[[#This Row],[OrderDate]]&lt;=DATE(2023,8,12)),"Week 2",
 IF(AND(Table1[[#This Row],[OrderDate]]&gt;=DATE(2023,8,13),Table1[[#This Row],[OrderDate]]&lt;=DATE(2023,8,19)),"Week 3",
 IF(AND(Table1[[#This Row],[OrderDate]]&gt;=DATE(2023,8,20),Table1[[#This Row],[OrderDate]]&lt;=DATE(2023,8,26)),"Week 4","Week 5"))))</f>
        <v>Week 2</v>
      </c>
      <c r="Q128" s="2">
        <v>45148</v>
      </c>
      <c r="R128" s="2" t="str">
        <f>TEXT(Table1[[#This Row],[ShipDate]],"dddd")</f>
        <v>Thursday</v>
      </c>
      <c r="S128" t="s">
        <v>24</v>
      </c>
      <c r="T128">
        <v>4</v>
      </c>
      <c r="U128" t="str">
        <f>IF(Table1[[#This Row],[DateDifference]]&lt;7,"Within Target","Outside Target")</f>
        <v>Within Target</v>
      </c>
      <c r="V128" t="s">
        <v>38</v>
      </c>
    </row>
    <row r="129" spans="1:22" x14ac:dyDescent="0.3">
      <c r="A129">
        <v>292</v>
      </c>
      <c r="B129">
        <v>1</v>
      </c>
      <c r="C129" t="s">
        <v>22</v>
      </c>
      <c r="D129" t="s">
        <v>23</v>
      </c>
      <c r="E129" s="1">
        <v>0.35</v>
      </c>
      <c r="F129">
        <v>20.010000000000002</v>
      </c>
      <c r="G129">
        <v>1900.95</v>
      </c>
      <c r="H129">
        <v>27.013500000000004</v>
      </c>
      <c r="I129">
        <f>Table1[[#This Row],[CookiesShipped]]*Table1[[#This Row],[Selling Price]]</f>
        <v>2566.2825000000003</v>
      </c>
      <c r="J129">
        <v>95</v>
      </c>
      <c r="K129">
        <v>2566.2825000000003</v>
      </c>
      <c r="L129">
        <v>665.33250000000021</v>
      </c>
      <c r="M129">
        <v>0.2592592592592593</v>
      </c>
      <c r="N129" s="2">
        <v>45164</v>
      </c>
      <c r="O129" s="2" t="str">
        <f>TEXT(Table1[[#This Row],[OrderDate]],"dddd")</f>
        <v>Saturday</v>
      </c>
      <c r="P129" s="2" t="str">
        <f>IF(AND(Table1[[#This Row],[OrderDate]]&gt;=DATE(2023,7,30),Table1[[#This Row],[OrderDate]]&lt;=DATE(2023,8,5)),"Week 1",
 IF(AND(Table1[[#This Row],[OrderDate]]&gt;=DATE(2023,8,6),Table1[[#This Row],[OrderDate]]&lt;=DATE(2023,8,12)),"Week 2",
 IF(AND(Table1[[#This Row],[OrderDate]]&gt;=DATE(2023,8,13),Table1[[#This Row],[OrderDate]]&lt;=DATE(2023,8,19)),"Week 3",
 IF(AND(Table1[[#This Row],[OrderDate]]&gt;=DATE(2023,8,20),Table1[[#This Row],[OrderDate]]&lt;=DATE(2023,8,26)),"Week 4","Week 5"))))</f>
        <v>Week 4</v>
      </c>
      <c r="Q129" s="2">
        <v>45166</v>
      </c>
      <c r="R129" s="2" t="str">
        <f>TEXT(Table1[[#This Row],[ShipDate]],"dddd")</f>
        <v>Monday</v>
      </c>
      <c r="S129" t="s">
        <v>24</v>
      </c>
      <c r="T129">
        <v>2</v>
      </c>
      <c r="U129" t="str">
        <f>IF(Table1[[#This Row],[DateDifference]]&lt;7,"Within Target","Outside Target")</f>
        <v>Within Target</v>
      </c>
      <c r="V129" t="s">
        <v>25</v>
      </c>
    </row>
    <row r="130" spans="1:22" x14ac:dyDescent="0.3">
      <c r="A130">
        <v>294</v>
      </c>
      <c r="B130">
        <v>2</v>
      </c>
      <c r="C130" t="s">
        <v>27</v>
      </c>
      <c r="D130" t="s">
        <v>28</v>
      </c>
      <c r="E130" s="1">
        <v>0.35</v>
      </c>
      <c r="F130">
        <v>29.18</v>
      </c>
      <c r="G130">
        <v>1021.3</v>
      </c>
      <c r="H130">
        <v>39.393000000000001</v>
      </c>
      <c r="I130">
        <f>Table1[[#This Row],[CookiesShipped]]*Table1[[#This Row],[Selling Price]]</f>
        <v>1378.7550000000001</v>
      </c>
      <c r="J130">
        <v>35</v>
      </c>
      <c r="K130">
        <v>1378.7550000000001</v>
      </c>
      <c r="L130">
        <v>357.45500000000015</v>
      </c>
      <c r="M130">
        <v>0.25925925925925936</v>
      </c>
      <c r="N130" s="2">
        <v>45147</v>
      </c>
      <c r="O130" s="2" t="str">
        <f>TEXT(Table1[[#This Row],[OrderDate]],"dddd")</f>
        <v>Wednesday</v>
      </c>
      <c r="P130" s="2" t="str">
        <f>IF(AND(Table1[[#This Row],[OrderDate]]&gt;=DATE(2023,7,30),Table1[[#This Row],[OrderDate]]&lt;=DATE(2023,8,5)),"Week 1",
 IF(AND(Table1[[#This Row],[OrderDate]]&gt;=DATE(2023,8,6),Table1[[#This Row],[OrderDate]]&lt;=DATE(2023,8,12)),"Week 2",
 IF(AND(Table1[[#This Row],[OrderDate]]&gt;=DATE(2023,8,13),Table1[[#This Row],[OrderDate]]&lt;=DATE(2023,8,19)),"Week 3",
 IF(AND(Table1[[#This Row],[OrderDate]]&gt;=DATE(2023,8,20),Table1[[#This Row],[OrderDate]]&lt;=DATE(2023,8,26)),"Week 4","Week 5"))))</f>
        <v>Week 2</v>
      </c>
      <c r="Q130" s="2">
        <v>45158</v>
      </c>
      <c r="R130" s="2" t="str">
        <f>TEXT(Table1[[#This Row],[ShipDate]],"dddd")</f>
        <v>Sunday</v>
      </c>
      <c r="S130" t="s">
        <v>24</v>
      </c>
      <c r="T130">
        <v>11</v>
      </c>
      <c r="U130" t="str">
        <f>IF(Table1[[#This Row],[DateDifference]]&lt;7,"Within Target","Outside Target")</f>
        <v>Outside Target</v>
      </c>
      <c r="V130" t="s">
        <v>26</v>
      </c>
    </row>
    <row r="131" spans="1:22" x14ac:dyDescent="0.3">
      <c r="A131">
        <v>295</v>
      </c>
      <c r="B131">
        <v>3</v>
      </c>
      <c r="C131" t="s">
        <v>33</v>
      </c>
      <c r="D131" t="s">
        <v>34</v>
      </c>
      <c r="E131" s="1">
        <v>0.35</v>
      </c>
      <c r="F131">
        <v>46.39</v>
      </c>
      <c r="G131">
        <v>4035.93</v>
      </c>
      <c r="H131">
        <v>62.626500000000007</v>
      </c>
      <c r="I131">
        <f>Table1[[#This Row],[CookiesShipped]]*Table1[[#This Row],[Selling Price]]</f>
        <v>5448.5055000000002</v>
      </c>
      <c r="J131">
        <v>87</v>
      </c>
      <c r="K131">
        <v>5448.5055000000002</v>
      </c>
      <c r="L131">
        <v>1412.5755000000004</v>
      </c>
      <c r="M131">
        <v>0.2592592592592593</v>
      </c>
      <c r="N131" s="2">
        <v>45156</v>
      </c>
      <c r="O131" s="2" t="str">
        <f>TEXT(Table1[[#This Row],[OrderDate]],"dddd")</f>
        <v>Friday</v>
      </c>
      <c r="P131" s="2" t="str">
        <f>IF(AND(Table1[[#This Row],[OrderDate]]&gt;=DATE(2023,7,30),Table1[[#This Row],[OrderDate]]&lt;=DATE(2023,8,5)),"Week 1",
 IF(AND(Table1[[#This Row],[OrderDate]]&gt;=DATE(2023,8,6),Table1[[#This Row],[OrderDate]]&lt;=DATE(2023,8,12)),"Week 2",
 IF(AND(Table1[[#This Row],[OrderDate]]&gt;=DATE(2023,8,13),Table1[[#This Row],[OrderDate]]&lt;=DATE(2023,8,19)),"Week 3",
 IF(AND(Table1[[#This Row],[OrderDate]]&gt;=DATE(2023,8,20),Table1[[#This Row],[OrderDate]]&lt;=DATE(2023,8,26)),"Week 4","Week 5"))))</f>
        <v>Week 3</v>
      </c>
      <c r="Q131" s="2">
        <v>45156</v>
      </c>
      <c r="R131" s="2" t="str">
        <f>TEXT(Table1[[#This Row],[ShipDate]],"dddd")</f>
        <v>Friday</v>
      </c>
      <c r="S131" t="s">
        <v>24</v>
      </c>
      <c r="T131">
        <v>0</v>
      </c>
      <c r="U131" t="str">
        <f>IF(Table1[[#This Row],[DateDifference]]&lt;7,"Within Target","Outside Target")</f>
        <v>Within Target</v>
      </c>
      <c r="V131" t="s">
        <v>35</v>
      </c>
    </row>
    <row r="132" spans="1:22" x14ac:dyDescent="0.3">
      <c r="A132">
        <v>296</v>
      </c>
      <c r="B132">
        <v>4</v>
      </c>
      <c r="C132" t="s">
        <v>36</v>
      </c>
      <c r="D132" t="s">
        <v>37</v>
      </c>
      <c r="E132" s="1">
        <v>0.35</v>
      </c>
      <c r="F132">
        <v>20.59</v>
      </c>
      <c r="G132">
        <v>1914.87</v>
      </c>
      <c r="H132">
        <v>27.796500000000002</v>
      </c>
      <c r="I132">
        <f>Table1[[#This Row],[CookiesShipped]]*Table1[[#This Row],[Selling Price]]</f>
        <v>2585.0745000000002</v>
      </c>
      <c r="J132">
        <v>93</v>
      </c>
      <c r="K132">
        <v>2585.0745000000002</v>
      </c>
      <c r="L132">
        <v>670.20450000000028</v>
      </c>
      <c r="M132">
        <v>0.25925925925925936</v>
      </c>
      <c r="N132" s="2">
        <v>45144</v>
      </c>
      <c r="O132" s="2" t="str">
        <f>TEXT(Table1[[#This Row],[OrderDate]],"dddd")</f>
        <v>Sunday</v>
      </c>
      <c r="P132" s="2" t="str">
        <f>IF(AND(Table1[[#This Row],[OrderDate]]&gt;=DATE(2023,7,30),Table1[[#This Row],[OrderDate]]&lt;=DATE(2023,8,5)),"Week 1",
 IF(AND(Table1[[#This Row],[OrderDate]]&gt;=DATE(2023,8,6),Table1[[#This Row],[OrderDate]]&lt;=DATE(2023,8,12)),"Week 2",
 IF(AND(Table1[[#This Row],[OrderDate]]&gt;=DATE(2023,8,13),Table1[[#This Row],[OrderDate]]&lt;=DATE(2023,8,19)),"Week 3",
 IF(AND(Table1[[#This Row],[OrderDate]]&gt;=DATE(2023,8,20),Table1[[#This Row],[OrderDate]]&lt;=DATE(2023,8,26)),"Week 4","Week 5"))))</f>
        <v>Week 2</v>
      </c>
      <c r="Q132" s="2">
        <v>45162</v>
      </c>
      <c r="R132" s="2" t="str">
        <f>TEXT(Table1[[#This Row],[ShipDate]],"dddd")</f>
        <v>Thursday</v>
      </c>
      <c r="S132" t="s">
        <v>24</v>
      </c>
      <c r="T132">
        <v>18</v>
      </c>
      <c r="U132" t="str">
        <f>IF(Table1[[#This Row],[DateDifference]]&lt;7,"Within Target","Outside Target")</f>
        <v>Outside Target</v>
      </c>
      <c r="V132" t="s">
        <v>38</v>
      </c>
    </row>
    <row r="133" spans="1:22" x14ac:dyDescent="0.3">
      <c r="A133">
        <v>297</v>
      </c>
      <c r="B133">
        <v>5</v>
      </c>
      <c r="C133" t="s">
        <v>30</v>
      </c>
      <c r="D133" t="s">
        <v>31</v>
      </c>
      <c r="E133" s="1">
        <v>0.35</v>
      </c>
      <c r="F133">
        <v>20.61</v>
      </c>
      <c r="G133">
        <v>1545.75</v>
      </c>
      <c r="H133">
        <v>27.823500000000003</v>
      </c>
      <c r="I133">
        <f>Table1[[#This Row],[CookiesShipped]]*Table1[[#This Row],[Selling Price]]</f>
        <v>2086.7625000000003</v>
      </c>
      <c r="J133">
        <v>75</v>
      </c>
      <c r="K133">
        <v>2086.7625000000003</v>
      </c>
      <c r="L133">
        <v>541.01250000000027</v>
      </c>
      <c r="M133">
        <v>0.25925925925925936</v>
      </c>
      <c r="N133" s="2">
        <v>45159</v>
      </c>
      <c r="O133" s="2" t="str">
        <f>TEXT(Table1[[#This Row],[OrderDate]],"dddd")</f>
        <v>Monday</v>
      </c>
      <c r="P133" s="2" t="str">
        <f>IF(AND(Table1[[#This Row],[OrderDate]]&gt;=DATE(2023,7,30),Table1[[#This Row],[OrderDate]]&lt;=DATE(2023,8,5)),"Week 1",
 IF(AND(Table1[[#This Row],[OrderDate]]&gt;=DATE(2023,8,6),Table1[[#This Row],[OrderDate]]&lt;=DATE(2023,8,12)),"Week 2",
 IF(AND(Table1[[#This Row],[OrderDate]]&gt;=DATE(2023,8,13),Table1[[#This Row],[OrderDate]]&lt;=DATE(2023,8,19)),"Week 3",
 IF(AND(Table1[[#This Row],[OrderDate]]&gt;=DATE(2023,8,20),Table1[[#This Row],[OrderDate]]&lt;=DATE(2023,8,26)),"Week 4","Week 5"))))</f>
        <v>Week 4</v>
      </c>
      <c r="Q133" s="2">
        <v>45165</v>
      </c>
      <c r="R133" s="2" t="str">
        <f>TEXT(Table1[[#This Row],[ShipDate]],"dddd")</f>
        <v>Sunday</v>
      </c>
      <c r="S133" t="s">
        <v>24</v>
      </c>
      <c r="T133">
        <v>6</v>
      </c>
      <c r="U133" t="str">
        <f>IF(Table1[[#This Row],[DateDifference]]&lt;7,"Within Target","Outside Target")</f>
        <v>Within Target</v>
      </c>
      <c r="V133" t="s">
        <v>39</v>
      </c>
    </row>
    <row r="134" spans="1:22" x14ac:dyDescent="0.3">
      <c r="A134">
        <v>299</v>
      </c>
      <c r="B134">
        <v>5</v>
      </c>
      <c r="C134" t="s">
        <v>30</v>
      </c>
      <c r="D134" t="s">
        <v>31</v>
      </c>
      <c r="E134" s="1">
        <v>0.35</v>
      </c>
      <c r="F134">
        <v>25.35</v>
      </c>
      <c r="G134">
        <v>1926.6000000000001</v>
      </c>
      <c r="H134">
        <v>34.222500000000004</v>
      </c>
      <c r="I134">
        <f>Table1[[#This Row],[CookiesShipped]]*Table1[[#This Row],[Selling Price]]</f>
        <v>2600.9100000000003</v>
      </c>
      <c r="J134">
        <v>76</v>
      </c>
      <c r="K134">
        <v>2600.9100000000003</v>
      </c>
      <c r="L134">
        <v>674.31000000000017</v>
      </c>
      <c r="M134">
        <v>0.2592592592592593</v>
      </c>
      <c r="N134" s="2">
        <v>45162</v>
      </c>
      <c r="O134" s="2" t="str">
        <f>TEXT(Table1[[#This Row],[OrderDate]],"dddd")</f>
        <v>Thursday</v>
      </c>
      <c r="P134" s="2" t="str">
        <f>IF(AND(Table1[[#This Row],[OrderDate]]&gt;=DATE(2023,7,30),Table1[[#This Row],[OrderDate]]&lt;=DATE(2023,8,5)),"Week 1",
 IF(AND(Table1[[#This Row],[OrderDate]]&gt;=DATE(2023,8,6),Table1[[#This Row],[OrderDate]]&lt;=DATE(2023,8,12)),"Week 2",
 IF(AND(Table1[[#This Row],[OrderDate]]&gt;=DATE(2023,8,13),Table1[[#This Row],[OrderDate]]&lt;=DATE(2023,8,19)),"Week 3",
 IF(AND(Table1[[#This Row],[OrderDate]]&gt;=DATE(2023,8,20),Table1[[#This Row],[OrderDate]]&lt;=DATE(2023,8,26)),"Week 4","Week 5"))))</f>
        <v>Week 4</v>
      </c>
      <c r="Q134" s="2">
        <v>45162</v>
      </c>
      <c r="R134" s="2" t="str">
        <f>TEXT(Table1[[#This Row],[ShipDate]],"dddd")</f>
        <v>Thursday</v>
      </c>
      <c r="S134" t="s">
        <v>24</v>
      </c>
      <c r="T134">
        <v>0</v>
      </c>
      <c r="U134" t="str">
        <f>IF(Table1[[#This Row],[DateDifference]]&lt;7,"Within Target","Outside Target")</f>
        <v>Within Target</v>
      </c>
      <c r="V134" t="s">
        <v>29</v>
      </c>
    </row>
    <row r="135" spans="1:22" x14ac:dyDescent="0.3">
      <c r="A135">
        <v>107</v>
      </c>
      <c r="B135">
        <v>3</v>
      </c>
      <c r="C135" t="s">
        <v>33</v>
      </c>
      <c r="D135" t="s">
        <v>34</v>
      </c>
      <c r="E135" s="1">
        <v>0.35</v>
      </c>
      <c r="F135">
        <v>15.91</v>
      </c>
      <c r="G135">
        <v>1575.09</v>
      </c>
      <c r="H135">
        <v>21.4785</v>
      </c>
      <c r="I135">
        <f>Table1[[#This Row],[CookiesShipped]]*Table1[[#This Row],[Selling Price]]</f>
        <v>2126.3715000000002</v>
      </c>
      <c r="J135">
        <v>99</v>
      </c>
      <c r="K135">
        <v>2126.3715000000002</v>
      </c>
      <c r="L135">
        <v>551.28150000000028</v>
      </c>
      <c r="M135">
        <v>0.25925925925925936</v>
      </c>
      <c r="N135" s="2">
        <v>45143</v>
      </c>
      <c r="O135" s="2" t="str">
        <f>TEXT(Table1[[#This Row],[OrderDate]],"dddd")</f>
        <v>Saturday</v>
      </c>
      <c r="P135" s="2" t="str">
        <f>IF(AND(Table1[[#This Row],[OrderDate]]&gt;=DATE(2023,7,30),Table1[[#This Row],[OrderDate]]&lt;=DATE(2023,8,5)),"Week 1",
 IF(AND(Table1[[#This Row],[OrderDate]]&gt;=DATE(2023,8,6),Table1[[#This Row],[OrderDate]]&lt;=DATE(2023,8,12)),"Week 2",
 IF(AND(Table1[[#This Row],[OrderDate]]&gt;=DATE(2023,8,13),Table1[[#This Row],[OrderDate]]&lt;=DATE(2023,8,19)),"Week 3",
 IF(AND(Table1[[#This Row],[OrderDate]]&gt;=DATE(2023,8,20),Table1[[#This Row],[OrderDate]]&lt;=DATE(2023,8,26)),"Week 4","Week 5"))))</f>
        <v>Week 1</v>
      </c>
      <c r="Q135" s="2">
        <v>45161</v>
      </c>
      <c r="R135" s="2" t="str">
        <f>TEXT(Table1[[#This Row],[ShipDate]],"dddd")</f>
        <v>Wednesday</v>
      </c>
      <c r="S135" t="s">
        <v>40</v>
      </c>
      <c r="T135">
        <v>18</v>
      </c>
      <c r="U135" t="str">
        <f>IF(Table1[[#This Row],[DateDifference]]&lt;7,"Within Target","Outside Target")</f>
        <v>Outside Target</v>
      </c>
      <c r="V135" t="s">
        <v>25</v>
      </c>
    </row>
    <row r="136" spans="1:22" x14ac:dyDescent="0.3">
      <c r="A136">
        <v>111</v>
      </c>
      <c r="B136">
        <v>1</v>
      </c>
      <c r="C136" t="s">
        <v>22</v>
      </c>
      <c r="D136" t="s">
        <v>23</v>
      </c>
      <c r="E136" s="1">
        <v>0.35</v>
      </c>
      <c r="F136">
        <v>19.489999999999998</v>
      </c>
      <c r="G136">
        <v>311.83999999999997</v>
      </c>
      <c r="H136">
        <v>26.311499999999999</v>
      </c>
      <c r="I136">
        <f>Table1[[#This Row],[CookiesShipped]]*Table1[[#This Row],[Selling Price]]</f>
        <v>420.98399999999998</v>
      </c>
      <c r="J136">
        <v>16</v>
      </c>
      <c r="K136">
        <v>420.98399999999998</v>
      </c>
      <c r="L136">
        <v>109.14400000000001</v>
      </c>
      <c r="M136">
        <v>0.2592592592592593</v>
      </c>
      <c r="N136" s="2">
        <v>45147</v>
      </c>
      <c r="O136" s="2" t="str">
        <f>TEXT(Table1[[#This Row],[OrderDate]],"dddd")</f>
        <v>Wednesday</v>
      </c>
      <c r="P136" s="2" t="str">
        <f>IF(AND(Table1[[#This Row],[OrderDate]]&gt;=DATE(2023,7,30),Table1[[#This Row],[OrderDate]]&lt;=DATE(2023,8,5)),"Week 1",
 IF(AND(Table1[[#This Row],[OrderDate]]&gt;=DATE(2023,8,6),Table1[[#This Row],[OrderDate]]&lt;=DATE(2023,8,12)),"Week 2",
 IF(AND(Table1[[#This Row],[OrderDate]]&gt;=DATE(2023,8,13),Table1[[#This Row],[OrderDate]]&lt;=DATE(2023,8,19)),"Week 3",
 IF(AND(Table1[[#This Row],[OrderDate]]&gt;=DATE(2023,8,20),Table1[[#This Row],[OrderDate]]&lt;=DATE(2023,8,26)),"Week 4","Week 5"))))</f>
        <v>Week 2</v>
      </c>
      <c r="Q136" s="2">
        <v>45156</v>
      </c>
      <c r="R136" s="2" t="str">
        <f>TEXT(Table1[[#This Row],[ShipDate]],"dddd")</f>
        <v>Friday</v>
      </c>
      <c r="S136" t="s">
        <v>40</v>
      </c>
      <c r="T136">
        <v>9</v>
      </c>
      <c r="U136" t="str">
        <f>IF(Table1[[#This Row],[DateDifference]]&lt;7,"Within Target","Outside Target")</f>
        <v>Outside Target</v>
      </c>
      <c r="V136" t="s">
        <v>26</v>
      </c>
    </row>
    <row r="137" spans="1:22" x14ac:dyDescent="0.3">
      <c r="A137">
        <v>114</v>
      </c>
      <c r="B137">
        <v>4</v>
      </c>
      <c r="C137" t="s">
        <v>36</v>
      </c>
      <c r="D137" t="s">
        <v>37</v>
      </c>
      <c r="E137" s="1">
        <v>0.35</v>
      </c>
      <c r="F137">
        <v>10.39</v>
      </c>
      <c r="G137">
        <v>197.41000000000003</v>
      </c>
      <c r="H137">
        <v>14.026500000000002</v>
      </c>
      <c r="I137">
        <f>Table1[[#This Row],[CookiesShipped]]*Table1[[#This Row],[Selling Price]]</f>
        <v>266.50350000000003</v>
      </c>
      <c r="J137">
        <v>19</v>
      </c>
      <c r="K137">
        <v>266.50350000000003</v>
      </c>
      <c r="L137">
        <v>69.093500000000006</v>
      </c>
      <c r="M137">
        <v>0.25925925925925924</v>
      </c>
      <c r="N137" s="2">
        <v>45140</v>
      </c>
      <c r="O137" s="2" t="str">
        <f>TEXT(Table1[[#This Row],[OrderDate]],"dddd")</f>
        <v>Wednesday</v>
      </c>
      <c r="P137" s="2" t="str">
        <f>IF(AND(Table1[[#This Row],[OrderDate]]&gt;=DATE(2023,7,30),Table1[[#This Row],[OrderDate]]&lt;=DATE(2023,8,5)),"Week 1",
 IF(AND(Table1[[#This Row],[OrderDate]]&gt;=DATE(2023,8,6),Table1[[#This Row],[OrderDate]]&lt;=DATE(2023,8,12)),"Week 2",
 IF(AND(Table1[[#This Row],[OrderDate]]&gt;=DATE(2023,8,13),Table1[[#This Row],[OrderDate]]&lt;=DATE(2023,8,19)),"Week 3",
 IF(AND(Table1[[#This Row],[OrderDate]]&gt;=DATE(2023,8,20),Table1[[#This Row],[OrderDate]]&lt;=DATE(2023,8,26)),"Week 4","Week 5"))))</f>
        <v>Week 1</v>
      </c>
      <c r="Q137" s="2">
        <v>45166</v>
      </c>
      <c r="R137" s="2" t="str">
        <f>TEXT(Table1[[#This Row],[ShipDate]],"dddd")</f>
        <v>Monday</v>
      </c>
      <c r="S137" t="s">
        <v>40</v>
      </c>
      <c r="T137">
        <v>26</v>
      </c>
      <c r="U137" t="str">
        <f>IF(Table1[[#This Row],[DateDifference]]&lt;7,"Within Target","Outside Target")</f>
        <v>Outside Target</v>
      </c>
      <c r="V137" t="s">
        <v>26</v>
      </c>
    </row>
    <row r="138" spans="1:22" x14ac:dyDescent="0.3">
      <c r="A138">
        <v>118</v>
      </c>
      <c r="B138">
        <v>5</v>
      </c>
      <c r="C138" t="s">
        <v>30</v>
      </c>
      <c r="D138" t="s">
        <v>31</v>
      </c>
      <c r="E138" s="1">
        <v>0.35</v>
      </c>
      <c r="F138">
        <v>40.51</v>
      </c>
      <c r="G138">
        <v>3726.9199999999996</v>
      </c>
      <c r="H138">
        <v>54.688499999999998</v>
      </c>
      <c r="I138">
        <f>Table1[[#This Row],[CookiesShipped]]*Table1[[#This Row],[Selling Price]]</f>
        <v>5031.3419999999996</v>
      </c>
      <c r="J138">
        <v>92</v>
      </c>
      <c r="K138">
        <v>5031.3419999999996</v>
      </c>
      <c r="L138">
        <v>1304.422</v>
      </c>
      <c r="M138">
        <v>0.2592592592592593</v>
      </c>
      <c r="N138" s="2">
        <v>45154</v>
      </c>
      <c r="O138" s="2" t="str">
        <f>TEXT(Table1[[#This Row],[OrderDate]],"dddd")</f>
        <v>Wednesday</v>
      </c>
      <c r="P138" s="2" t="str">
        <f>IF(AND(Table1[[#This Row],[OrderDate]]&gt;=DATE(2023,7,30),Table1[[#This Row],[OrderDate]]&lt;=DATE(2023,8,5)),"Week 1",
 IF(AND(Table1[[#This Row],[OrderDate]]&gt;=DATE(2023,8,6),Table1[[#This Row],[OrderDate]]&lt;=DATE(2023,8,12)),"Week 2",
 IF(AND(Table1[[#This Row],[OrderDate]]&gt;=DATE(2023,8,13),Table1[[#This Row],[OrderDate]]&lt;=DATE(2023,8,19)),"Week 3",
 IF(AND(Table1[[#This Row],[OrderDate]]&gt;=DATE(2023,8,20),Table1[[#This Row],[OrderDate]]&lt;=DATE(2023,8,26)),"Week 4","Week 5"))))</f>
        <v>Week 3</v>
      </c>
      <c r="Q138" s="2">
        <v>45161</v>
      </c>
      <c r="R138" s="2" t="str">
        <f>TEXT(Table1[[#This Row],[ShipDate]],"dddd")</f>
        <v>Wednesday</v>
      </c>
      <c r="S138" t="s">
        <v>40</v>
      </c>
      <c r="T138">
        <v>7</v>
      </c>
      <c r="U138" t="str">
        <f>IF(Table1[[#This Row],[DateDifference]]&lt;7,"Within Target","Outside Target")</f>
        <v>Outside Target</v>
      </c>
      <c r="V138" t="s">
        <v>26</v>
      </c>
    </row>
    <row r="139" spans="1:22" x14ac:dyDescent="0.3">
      <c r="A139">
        <v>120</v>
      </c>
      <c r="B139">
        <v>1</v>
      </c>
      <c r="C139" t="s">
        <v>22</v>
      </c>
      <c r="D139" t="s">
        <v>23</v>
      </c>
      <c r="E139" s="1">
        <v>0.35</v>
      </c>
      <c r="F139">
        <v>8.91</v>
      </c>
      <c r="G139">
        <v>490.05</v>
      </c>
      <c r="H139">
        <v>12.028500000000001</v>
      </c>
      <c r="I139">
        <f>Table1[[#This Row],[CookiesShipped]]*Table1[[#This Row],[Selling Price]]</f>
        <v>661.56750000000011</v>
      </c>
      <c r="J139">
        <v>55</v>
      </c>
      <c r="K139">
        <v>661.56750000000011</v>
      </c>
      <c r="L139">
        <v>171.5175000000001</v>
      </c>
      <c r="M139">
        <v>0.25925925925925936</v>
      </c>
      <c r="N139" s="2">
        <v>45154</v>
      </c>
      <c r="O139" s="2" t="str">
        <f>TEXT(Table1[[#This Row],[OrderDate]],"dddd")</f>
        <v>Wednesday</v>
      </c>
      <c r="P139" s="2" t="str">
        <f>IF(AND(Table1[[#This Row],[OrderDate]]&gt;=DATE(2023,7,30),Table1[[#This Row],[OrderDate]]&lt;=DATE(2023,8,5)),"Week 1",
 IF(AND(Table1[[#This Row],[OrderDate]]&gt;=DATE(2023,8,6),Table1[[#This Row],[OrderDate]]&lt;=DATE(2023,8,12)),"Week 2",
 IF(AND(Table1[[#This Row],[OrderDate]]&gt;=DATE(2023,8,13),Table1[[#This Row],[OrderDate]]&lt;=DATE(2023,8,19)),"Week 3",
 IF(AND(Table1[[#This Row],[OrderDate]]&gt;=DATE(2023,8,20),Table1[[#This Row],[OrderDate]]&lt;=DATE(2023,8,26)),"Week 4","Week 5"))))</f>
        <v>Week 3</v>
      </c>
      <c r="Q139" s="2">
        <v>45161</v>
      </c>
      <c r="R139" s="2" t="str">
        <f>TEXT(Table1[[#This Row],[ShipDate]],"dddd")</f>
        <v>Wednesday</v>
      </c>
      <c r="S139" t="s">
        <v>40</v>
      </c>
      <c r="T139">
        <v>7</v>
      </c>
      <c r="U139" t="str">
        <f>IF(Table1[[#This Row],[DateDifference]]&lt;7,"Within Target","Outside Target")</f>
        <v>Outside Target</v>
      </c>
      <c r="V139" t="s">
        <v>26</v>
      </c>
    </row>
    <row r="140" spans="1:22" x14ac:dyDescent="0.3">
      <c r="A140">
        <v>122</v>
      </c>
      <c r="B140">
        <v>1</v>
      </c>
      <c r="C140" t="s">
        <v>22</v>
      </c>
      <c r="D140" t="s">
        <v>23</v>
      </c>
      <c r="E140" s="1">
        <v>0.35</v>
      </c>
      <c r="F140">
        <v>31.41</v>
      </c>
      <c r="G140">
        <v>2826.9</v>
      </c>
      <c r="H140">
        <v>42.403500000000001</v>
      </c>
      <c r="I140">
        <f>Table1[[#This Row],[CookiesShipped]]*Table1[[#This Row],[Selling Price]]</f>
        <v>3816.3150000000001</v>
      </c>
      <c r="J140">
        <v>90</v>
      </c>
      <c r="K140">
        <v>3816.3150000000001</v>
      </c>
      <c r="L140">
        <v>989.41499999999996</v>
      </c>
      <c r="M140">
        <v>0.25925925925925924</v>
      </c>
      <c r="N140" s="2">
        <v>45157</v>
      </c>
      <c r="O140" s="2" t="str">
        <f>TEXT(Table1[[#This Row],[OrderDate]],"dddd")</f>
        <v>Saturday</v>
      </c>
      <c r="P140" s="2" t="str">
        <f>IF(AND(Table1[[#This Row],[OrderDate]]&gt;=DATE(2023,7,30),Table1[[#This Row],[OrderDate]]&lt;=DATE(2023,8,5)),"Week 1",
 IF(AND(Table1[[#This Row],[OrderDate]]&gt;=DATE(2023,8,6),Table1[[#This Row],[OrderDate]]&lt;=DATE(2023,8,12)),"Week 2",
 IF(AND(Table1[[#This Row],[OrderDate]]&gt;=DATE(2023,8,13),Table1[[#This Row],[OrderDate]]&lt;=DATE(2023,8,19)),"Week 3",
 IF(AND(Table1[[#This Row],[OrderDate]]&gt;=DATE(2023,8,20),Table1[[#This Row],[OrderDate]]&lt;=DATE(2023,8,26)),"Week 4","Week 5"))))</f>
        <v>Week 3</v>
      </c>
      <c r="Q140" s="2">
        <v>45159</v>
      </c>
      <c r="R140" s="2" t="str">
        <f>TEXT(Table1[[#This Row],[ShipDate]],"dddd")</f>
        <v>Monday</v>
      </c>
      <c r="S140" t="s">
        <v>41</v>
      </c>
      <c r="T140">
        <v>2</v>
      </c>
      <c r="U140" t="str">
        <f>IF(Table1[[#This Row],[DateDifference]]&lt;7,"Within Target","Outside Target")</f>
        <v>Within Target</v>
      </c>
      <c r="V140" t="s">
        <v>25</v>
      </c>
    </row>
    <row r="141" spans="1:22" x14ac:dyDescent="0.3">
      <c r="A141">
        <v>123</v>
      </c>
      <c r="B141">
        <v>2</v>
      </c>
      <c r="C141" t="s">
        <v>27</v>
      </c>
      <c r="D141" t="s">
        <v>28</v>
      </c>
      <c r="E141" s="1">
        <v>0.35</v>
      </c>
      <c r="F141">
        <v>38.54</v>
      </c>
      <c r="G141">
        <v>2389.48</v>
      </c>
      <c r="H141">
        <v>52.029000000000003</v>
      </c>
      <c r="I141">
        <f>Table1[[#This Row],[CookiesShipped]]*Table1[[#This Row],[Selling Price]]</f>
        <v>3225.7980000000002</v>
      </c>
      <c r="J141">
        <v>62</v>
      </c>
      <c r="K141">
        <v>3225.7980000000002</v>
      </c>
      <c r="L141">
        <v>836.31800000000021</v>
      </c>
      <c r="M141">
        <v>0.2592592592592593</v>
      </c>
      <c r="N141" s="2">
        <v>45162</v>
      </c>
      <c r="O141" s="2" t="str">
        <f>TEXT(Table1[[#This Row],[OrderDate]],"dddd")</f>
        <v>Thursday</v>
      </c>
      <c r="P141" s="2" t="str">
        <f>IF(AND(Table1[[#This Row],[OrderDate]]&gt;=DATE(2023,7,30),Table1[[#This Row],[OrderDate]]&lt;=DATE(2023,8,5)),"Week 1",
 IF(AND(Table1[[#This Row],[OrderDate]]&gt;=DATE(2023,8,6),Table1[[#This Row],[OrderDate]]&lt;=DATE(2023,8,12)),"Week 2",
 IF(AND(Table1[[#This Row],[OrderDate]]&gt;=DATE(2023,8,13),Table1[[#This Row],[OrderDate]]&lt;=DATE(2023,8,19)),"Week 3",
 IF(AND(Table1[[#This Row],[OrderDate]]&gt;=DATE(2023,8,20),Table1[[#This Row],[OrderDate]]&lt;=DATE(2023,8,26)),"Week 4","Week 5"))))</f>
        <v>Week 4</v>
      </c>
      <c r="Q141" s="2">
        <v>45164</v>
      </c>
      <c r="R141" s="2" t="str">
        <f>TEXT(Table1[[#This Row],[ShipDate]],"dddd")</f>
        <v>Saturday</v>
      </c>
      <c r="S141" t="s">
        <v>40</v>
      </c>
      <c r="T141">
        <v>2</v>
      </c>
      <c r="U141" t="str">
        <f>IF(Table1[[#This Row],[DateDifference]]&lt;7,"Within Target","Outside Target")</f>
        <v>Within Target</v>
      </c>
      <c r="V141" t="s">
        <v>29</v>
      </c>
    </row>
    <row r="142" spans="1:22" x14ac:dyDescent="0.3">
      <c r="A142">
        <v>124</v>
      </c>
      <c r="B142">
        <v>2</v>
      </c>
      <c r="C142" t="s">
        <v>27</v>
      </c>
      <c r="D142" t="s">
        <v>28</v>
      </c>
      <c r="E142" s="1">
        <v>0.35</v>
      </c>
      <c r="F142">
        <v>24.42</v>
      </c>
      <c r="G142">
        <v>561.66000000000008</v>
      </c>
      <c r="H142">
        <v>32.967000000000006</v>
      </c>
      <c r="I142">
        <f>Table1[[#This Row],[CookiesShipped]]*Table1[[#This Row],[Selling Price]]</f>
        <v>758.2410000000001</v>
      </c>
      <c r="J142">
        <v>23</v>
      </c>
      <c r="K142">
        <v>758.2410000000001</v>
      </c>
      <c r="L142">
        <v>196.58100000000002</v>
      </c>
      <c r="M142">
        <v>0.25925925925925924</v>
      </c>
      <c r="N142" s="2">
        <v>45147</v>
      </c>
      <c r="O142" s="2" t="str">
        <f>TEXT(Table1[[#This Row],[OrderDate]],"dddd")</f>
        <v>Wednesday</v>
      </c>
      <c r="P142" s="2" t="str">
        <f>IF(AND(Table1[[#This Row],[OrderDate]]&gt;=DATE(2023,7,30),Table1[[#This Row],[OrderDate]]&lt;=DATE(2023,8,5)),"Week 1",
 IF(AND(Table1[[#This Row],[OrderDate]]&gt;=DATE(2023,8,6),Table1[[#This Row],[OrderDate]]&lt;=DATE(2023,8,12)),"Week 2",
 IF(AND(Table1[[#This Row],[OrderDate]]&gt;=DATE(2023,8,13),Table1[[#This Row],[OrderDate]]&lt;=DATE(2023,8,19)),"Week 3",
 IF(AND(Table1[[#This Row],[OrderDate]]&gt;=DATE(2023,8,20),Table1[[#This Row],[OrderDate]]&lt;=DATE(2023,8,26)),"Week 4","Week 5"))))</f>
        <v>Week 2</v>
      </c>
      <c r="Q142" s="2">
        <v>45166</v>
      </c>
      <c r="R142" s="2" t="str">
        <f>TEXT(Table1[[#This Row],[ShipDate]],"dddd")</f>
        <v>Monday</v>
      </c>
      <c r="S142" t="s">
        <v>41</v>
      </c>
      <c r="T142">
        <v>19</v>
      </c>
      <c r="U142" t="str">
        <f>IF(Table1[[#This Row],[DateDifference]]&lt;7,"Within Target","Outside Target")</f>
        <v>Outside Target</v>
      </c>
      <c r="V142" t="s">
        <v>26</v>
      </c>
    </row>
    <row r="143" spans="1:22" x14ac:dyDescent="0.3">
      <c r="A143">
        <v>126</v>
      </c>
      <c r="B143">
        <v>5</v>
      </c>
      <c r="C143" t="s">
        <v>30</v>
      </c>
      <c r="D143" t="s">
        <v>31</v>
      </c>
      <c r="E143" s="1">
        <v>0.35</v>
      </c>
      <c r="F143">
        <v>17.77</v>
      </c>
      <c r="G143">
        <v>213.24</v>
      </c>
      <c r="H143">
        <v>23.9895</v>
      </c>
      <c r="I143">
        <f>Table1[[#This Row],[CookiesShipped]]*Table1[[#This Row],[Selling Price]]</f>
        <v>287.87400000000002</v>
      </c>
      <c r="J143">
        <v>12</v>
      </c>
      <c r="K143">
        <v>287.87400000000002</v>
      </c>
      <c r="L143">
        <v>74.634000000000015</v>
      </c>
      <c r="M143">
        <v>0.2592592592592593</v>
      </c>
      <c r="N143" s="2">
        <v>45146</v>
      </c>
      <c r="O143" s="2" t="str">
        <f>TEXT(Table1[[#This Row],[OrderDate]],"dddd")</f>
        <v>Tuesday</v>
      </c>
      <c r="P143" s="2" t="str">
        <f>IF(AND(Table1[[#This Row],[OrderDate]]&gt;=DATE(2023,7,30),Table1[[#This Row],[OrderDate]]&lt;=DATE(2023,8,5)),"Week 1",
 IF(AND(Table1[[#This Row],[OrderDate]]&gt;=DATE(2023,8,6),Table1[[#This Row],[OrderDate]]&lt;=DATE(2023,8,12)),"Week 2",
 IF(AND(Table1[[#This Row],[OrderDate]]&gt;=DATE(2023,8,13),Table1[[#This Row],[OrderDate]]&lt;=DATE(2023,8,19)),"Week 3",
 IF(AND(Table1[[#This Row],[OrderDate]]&gt;=DATE(2023,8,20),Table1[[#This Row],[OrderDate]]&lt;=DATE(2023,8,26)),"Week 4","Week 5"))))</f>
        <v>Week 2</v>
      </c>
      <c r="Q143" s="2">
        <v>45163</v>
      </c>
      <c r="R143" s="2" t="str">
        <f>TEXT(Table1[[#This Row],[ShipDate]],"dddd")</f>
        <v>Friday</v>
      </c>
      <c r="S143" t="s">
        <v>40</v>
      </c>
      <c r="T143">
        <v>17</v>
      </c>
      <c r="U143" t="str">
        <f>IF(Table1[[#This Row],[DateDifference]]&lt;7,"Within Target","Outside Target")</f>
        <v>Outside Target</v>
      </c>
      <c r="V143" t="s">
        <v>32</v>
      </c>
    </row>
    <row r="144" spans="1:22" x14ac:dyDescent="0.3">
      <c r="A144">
        <v>130</v>
      </c>
      <c r="B144">
        <v>2</v>
      </c>
      <c r="C144" t="s">
        <v>27</v>
      </c>
      <c r="D144" t="s">
        <v>28</v>
      </c>
      <c r="E144" s="1">
        <v>0.35</v>
      </c>
      <c r="F144">
        <v>21.02</v>
      </c>
      <c r="G144">
        <v>714.68</v>
      </c>
      <c r="H144">
        <v>28.377000000000002</v>
      </c>
      <c r="I144">
        <f>Table1[[#This Row],[CookiesShipped]]*Table1[[#This Row],[Selling Price]]</f>
        <v>964.8180000000001</v>
      </c>
      <c r="J144">
        <v>34</v>
      </c>
      <c r="K144">
        <v>964.8180000000001</v>
      </c>
      <c r="L144">
        <v>250.13800000000015</v>
      </c>
      <c r="M144">
        <v>0.25925925925925941</v>
      </c>
      <c r="N144" s="2">
        <v>45148</v>
      </c>
      <c r="O144" s="2" t="str">
        <f>TEXT(Table1[[#This Row],[OrderDate]],"dddd")</f>
        <v>Thursday</v>
      </c>
      <c r="P144" s="2" t="str">
        <f>IF(AND(Table1[[#This Row],[OrderDate]]&gt;=DATE(2023,7,30),Table1[[#This Row],[OrderDate]]&lt;=DATE(2023,8,5)),"Week 1",
 IF(AND(Table1[[#This Row],[OrderDate]]&gt;=DATE(2023,8,6),Table1[[#This Row],[OrderDate]]&lt;=DATE(2023,8,12)),"Week 2",
 IF(AND(Table1[[#This Row],[OrderDate]]&gt;=DATE(2023,8,13),Table1[[#This Row],[OrderDate]]&lt;=DATE(2023,8,19)),"Week 3",
 IF(AND(Table1[[#This Row],[OrderDate]]&gt;=DATE(2023,8,20),Table1[[#This Row],[OrderDate]]&lt;=DATE(2023,8,26)),"Week 4","Week 5"))))</f>
        <v>Week 2</v>
      </c>
      <c r="Q144" s="2">
        <v>45152</v>
      </c>
      <c r="R144" s="2" t="str">
        <f>TEXT(Table1[[#This Row],[ShipDate]],"dddd")</f>
        <v>Monday</v>
      </c>
      <c r="S144" t="s">
        <v>40</v>
      </c>
      <c r="T144">
        <v>4</v>
      </c>
      <c r="U144" t="str">
        <f>IF(Table1[[#This Row],[DateDifference]]&lt;7,"Within Target","Outside Target")</f>
        <v>Within Target</v>
      </c>
      <c r="V144" t="s">
        <v>29</v>
      </c>
    </row>
    <row r="145" spans="1:22" x14ac:dyDescent="0.3">
      <c r="A145">
        <v>131</v>
      </c>
      <c r="B145">
        <v>5</v>
      </c>
      <c r="C145" t="s">
        <v>30</v>
      </c>
      <c r="D145" t="s">
        <v>31</v>
      </c>
      <c r="E145" s="1">
        <v>0.35</v>
      </c>
      <c r="F145">
        <v>49.39</v>
      </c>
      <c r="G145">
        <v>4741.4400000000005</v>
      </c>
      <c r="H145">
        <v>66.676500000000004</v>
      </c>
      <c r="I145">
        <f>Table1[[#This Row],[CookiesShipped]]*Table1[[#This Row],[Selling Price]]</f>
        <v>6400.9440000000004</v>
      </c>
      <c r="J145">
        <v>96</v>
      </c>
      <c r="K145">
        <v>6400.9440000000004</v>
      </c>
      <c r="L145">
        <v>1659.5039999999999</v>
      </c>
      <c r="M145">
        <v>0.25925925925925924</v>
      </c>
      <c r="N145" s="2">
        <v>45147</v>
      </c>
      <c r="O145" s="2" t="str">
        <f>TEXT(Table1[[#This Row],[OrderDate]],"dddd")</f>
        <v>Wednesday</v>
      </c>
      <c r="P145" s="2" t="str">
        <f>IF(AND(Table1[[#This Row],[OrderDate]]&gt;=DATE(2023,7,30),Table1[[#This Row],[OrderDate]]&lt;=DATE(2023,8,5)),"Week 1",
 IF(AND(Table1[[#This Row],[OrderDate]]&gt;=DATE(2023,8,6),Table1[[#This Row],[OrderDate]]&lt;=DATE(2023,8,12)),"Week 2",
 IF(AND(Table1[[#This Row],[OrderDate]]&gt;=DATE(2023,8,13),Table1[[#This Row],[OrderDate]]&lt;=DATE(2023,8,19)),"Week 3",
 IF(AND(Table1[[#This Row],[OrderDate]]&gt;=DATE(2023,8,20),Table1[[#This Row],[OrderDate]]&lt;=DATE(2023,8,26)),"Week 4","Week 5"))))</f>
        <v>Week 2</v>
      </c>
      <c r="Q145" s="2">
        <v>45150</v>
      </c>
      <c r="R145" s="2" t="str">
        <f>TEXT(Table1[[#This Row],[ShipDate]],"dddd")</f>
        <v>Saturday</v>
      </c>
      <c r="S145" t="s">
        <v>41</v>
      </c>
      <c r="T145">
        <v>3</v>
      </c>
      <c r="U145" t="str">
        <f>IF(Table1[[#This Row],[DateDifference]]&lt;7,"Within Target","Outside Target")</f>
        <v>Within Target</v>
      </c>
      <c r="V145" t="s">
        <v>26</v>
      </c>
    </row>
    <row r="146" spans="1:22" x14ac:dyDescent="0.3">
      <c r="A146">
        <v>132</v>
      </c>
      <c r="B146">
        <v>4</v>
      </c>
      <c r="C146" t="s">
        <v>36</v>
      </c>
      <c r="D146" t="s">
        <v>37</v>
      </c>
      <c r="E146" s="1">
        <v>0.35</v>
      </c>
      <c r="F146">
        <v>32.26</v>
      </c>
      <c r="G146">
        <v>1548.48</v>
      </c>
      <c r="H146">
        <v>43.551000000000002</v>
      </c>
      <c r="I146">
        <f>Table1[[#This Row],[CookiesShipped]]*Table1[[#This Row],[Selling Price]]</f>
        <v>2090.4480000000003</v>
      </c>
      <c r="J146">
        <v>48</v>
      </c>
      <c r="K146">
        <v>2090.4480000000003</v>
      </c>
      <c r="L146">
        <v>541.9680000000003</v>
      </c>
      <c r="M146">
        <v>0.25925925925925936</v>
      </c>
      <c r="N146" s="2">
        <v>45143</v>
      </c>
      <c r="O146" s="2" t="str">
        <f>TEXT(Table1[[#This Row],[OrderDate]],"dddd")</f>
        <v>Saturday</v>
      </c>
      <c r="P146" s="2" t="str">
        <f>IF(AND(Table1[[#This Row],[OrderDate]]&gt;=DATE(2023,7,30),Table1[[#This Row],[OrderDate]]&lt;=DATE(2023,8,5)),"Week 1",
 IF(AND(Table1[[#This Row],[OrderDate]]&gt;=DATE(2023,8,6),Table1[[#This Row],[OrderDate]]&lt;=DATE(2023,8,12)),"Week 2",
 IF(AND(Table1[[#This Row],[OrderDate]]&gt;=DATE(2023,8,13),Table1[[#This Row],[OrderDate]]&lt;=DATE(2023,8,19)),"Week 3",
 IF(AND(Table1[[#This Row],[OrderDate]]&gt;=DATE(2023,8,20),Table1[[#This Row],[OrderDate]]&lt;=DATE(2023,8,26)),"Week 4","Week 5"))))</f>
        <v>Week 1</v>
      </c>
      <c r="Q146" s="2">
        <v>45168</v>
      </c>
      <c r="R146" s="2" t="str">
        <f>TEXT(Table1[[#This Row],[ShipDate]],"dddd")</f>
        <v>Wednesday</v>
      </c>
      <c r="S146" t="s">
        <v>40</v>
      </c>
      <c r="T146">
        <v>25</v>
      </c>
      <c r="U146" t="str">
        <f>IF(Table1[[#This Row],[DateDifference]]&lt;7,"Within Target","Outside Target")</f>
        <v>Outside Target</v>
      </c>
      <c r="V146" t="s">
        <v>25</v>
      </c>
    </row>
    <row r="147" spans="1:22" x14ac:dyDescent="0.3">
      <c r="A147">
        <v>135</v>
      </c>
      <c r="B147">
        <v>3</v>
      </c>
      <c r="C147" t="s">
        <v>33</v>
      </c>
      <c r="D147" t="s">
        <v>34</v>
      </c>
      <c r="E147" s="1">
        <v>0.35</v>
      </c>
      <c r="F147">
        <v>11.88</v>
      </c>
      <c r="G147">
        <v>190.08</v>
      </c>
      <c r="H147">
        <v>16.038000000000004</v>
      </c>
      <c r="I147">
        <f>Table1[[#This Row],[CookiesShipped]]*Table1[[#This Row],[Selling Price]]</f>
        <v>256.60800000000006</v>
      </c>
      <c r="J147">
        <v>16</v>
      </c>
      <c r="K147">
        <v>256.60800000000006</v>
      </c>
      <c r="L147">
        <v>66.528000000000048</v>
      </c>
      <c r="M147">
        <v>0.25925925925925941</v>
      </c>
      <c r="N147" s="2">
        <v>45141</v>
      </c>
      <c r="O147" s="2" t="str">
        <f>TEXT(Table1[[#This Row],[OrderDate]],"dddd")</f>
        <v>Thursday</v>
      </c>
      <c r="P147" s="2" t="str">
        <f>IF(AND(Table1[[#This Row],[OrderDate]]&gt;=DATE(2023,7,30),Table1[[#This Row],[OrderDate]]&lt;=DATE(2023,8,5)),"Week 1",
 IF(AND(Table1[[#This Row],[OrderDate]]&gt;=DATE(2023,8,6),Table1[[#This Row],[OrderDate]]&lt;=DATE(2023,8,12)),"Week 2",
 IF(AND(Table1[[#This Row],[OrderDate]]&gt;=DATE(2023,8,13),Table1[[#This Row],[OrderDate]]&lt;=DATE(2023,8,19)),"Week 3",
 IF(AND(Table1[[#This Row],[OrderDate]]&gt;=DATE(2023,8,20),Table1[[#This Row],[OrderDate]]&lt;=DATE(2023,8,26)),"Week 4","Week 5"))))</f>
        <v>Week 1</v>
      </c>
      <c r="Q147" s="2">
        <v>45167</v>
      </c>
      <c r="R147" s="2" t="str">
        <f>TEXT(Table1[[#This Row],[ShipDate]],"dddd")</f>
        <v>Tuesday</v>
      </c>
      <c r="S147" t="s">
        <v>40</v>
      </c>
      <c r="T147">
        <v>26</v>
      </c>
      <c r="U147" t="str">
        <f>IF(Table1[[#This Row],[DateDifference]]&lt;7,"Within Target","Outside Target")</f>
        <v>Outside Target</v>
      </c>
      <c r="V147" t="s">
        <v>29</v>
      </c>
    </row>
    <row r="148" spans="1:22" x14ac:dyDescent="0.3">
      <c r="A148">
        <v>144</v>
      </c>
      <c r="B148">
        <v>4</v>
      </c>
      <c r="C148" t="s">
        <v>36</v>
      </c>
      <c r="D148" t="s">
        <v>37</v>
      </c>
      <c r="E148" s="1">
        <v>0.35</v>
      </c>
      <c r="F148">
        <v>23.47</v>
      </c>
      <c r="G148">
        <v>610.22</v>
      </c>
      <c r="H148">
        <v>31.6845</v>
      </c>
      <c r="I148">
        <f>Table1[[#This Row],[CookiesShipped]]*Table1[[#This Row],[Selling Price]]</f>
        <v>823.79700000000003</v>
      </c>
      <c r="J148">
        <v>26</v>
      </c>
      <c r="K148">
        <v>823.79700000000003</v>
      </c>
      <c r="L148">
        <v>213.577</v>
      </c>
      <c r="M148">
        <v>0.25925925925925924</v>
      </c>
      <c r="N148" s="2">
        <v>45142</v>
      </c>
      <c r="O148" s="2" t="str">
        <f>TEXT(Table1[[#This Row],[OrderDate]],"dddd")</f>
        <v>Friday</v>
      </c>
      <c r="P148" s="2" t="str">
        <f>IF(AND(Table1[[#This Row],[OrderDate]]&gt;=DATE(2023,7,30),Table1[[#This Row],[OrderDate]]&lt;=DATE(2023,8,5)),"Week 1",
 IF(AND(Table1[[#This Row],[OrderDate]]&gt;=DATE(2023,8,6),Table1[[#This Row],[OrderDate]]&lt;=DATE(2023,8,12)),"Week 2",
 IF(AND(Table1[[#This Row],[OrderDate]]&gt;=DATE(2023,8,13),Table1[[#This Row],[OrderDate]]&lt;=DATE(2023,8,19)),"Week 3",
 IF(AND(Table1[[#This Row],[OrderDate]]&gt;=DATE(2023,8,20),Table1[[#This Row],[OrderDate]]&lt;=DATE(2023,8,26)),"Week 4","Week 5"))))</f>
        <v>Week 1</v>
      </c>
      <c r="Q148" s="2">
        <v>45164</v>
      </c>
      <c r="R148" s="2" t="str">
        <f>TEXT(Table1[[#This Row],[ShipDate]],"dddd")</f>
        <v>Saturday</v>
      </c>
      <c r="S148" t="s">
        <v>41</v>
      </c>
      <c r="T148">
        <v>22</v>
      </c>
      <c r="U148" t="str">
        <f>IF(Table1[[#This Row],[DateDifference]]&lt;7,"Within Target","Outside Target")</f>
        <v>Outside Target</v>
      </c>
      <c r="V148" t="s">
        <v>35</v>
      </c>
    </row>
    <row r="149" spans="1:22" x14ac:dyDescent="0.3">
      <c r="A149">
        <v>149</v>
      </c>
      <c r="B149">
        <v>4</v>
      </c>
      <c r="C149" t="s">
        <v>36</v>
      </c>
      <c r="D149" t="s">
        <v>37</v>
      </c>
      <c r="E149" s="1">
        <v>0.35</v>
      </c>
      <c r="F149">
        <v>43.95</v>
      </c>
      <c r="G149">
        <v>1274.5500000000002</v>
      </c>
      <c r="H149">
        <v>59.33250000000001</v>
      </c>
      <c r="I149">
        <f>Table1[[#This Row],[CookiesShipped]]*Table1[[#This Row],[Selling Price]]</f>
        <v>1720.6425000000004</v>
      </c>
      <c r="J149">
        <v>29</v>
      </c>
      <c r="K149">
        <v>1720.6425000000004</v>
      </c>
      <c r="L149">
        <v>446.0925000000002</v>
      </c>
      <c r="M149">
        <v>0.2592592592592593</v>
      </c>
      <c r="N149" s="2">
        <v>45142</v>
      </c>
      <c r="O149" s="2" t="str">
        <f>TEXT(Table1[[#This Row],[OrderDate]],"dddd")</f>
        <v>Friday</v>
      </c>
      <c r="P149" s="2" t="str">
        <f>IF(AND(Table1[[#This Row],[OrderDate]]&gt;=DATE(2023,7,30),Table1[[#This Row],[OrderDate]]&lt;=DATE(2023,8,5)),"Week 1",
 IF(AND(Table1[[#This Row],[OrderDate]]&gt;=DATE(2023,8,6),Table1[[#This Row],[OrderDate]]&lt;=DATE(2023,8,12)),"Week 2",
 IF(AND(Table1[[#This Row],[OrderDate]]&gt;=DATE(2023,8,13),Table1[[#This Row],[OrderDate]]&lt;=DATE(2023,8,19)),"Week 3",
 IF(AND(Table1[[#This Row],[OrderDate]]&gt;=DATE(2023,8,20),Table1[[#This Row],[OrderDate]]&lt;=DATE(2023,8,26)),"Week 4","Week 5"))))</f>
        <v>Week 1</v>
      </c>
      <c r="Q149" s="2">
        <v>45159</v>
      </c>
      <c r="R149" s="2" t="str">
        <f>TEXT(Table1[[#This Row],[ShipDate]],"dddd")</f>
        <v>Monday</v>
      </c>
      <c r="S149" t="s">
        <v>41</v>
      </c>
      <c r="T149">
        <v>17</v>
      </c>
      <c r="U149" t="str">
        <f>IF(Table1[[#This Row],[DateDifference]]&lt;7,"Within Target","Outside Target")</f>
        <v>Outside Target</v>
      </c>
      <c r="V149" t="s">
        <v>35</v>
      </c>
    </row>
    <row r="150" spans="1:22" x14ac:dyDescent="0.3">
      <c r="A150">
        <v>150</v>
      </c>
      <c r="B150">
        <v>3</v>
      </c>
      <c r="C150" t="s">
        <v>33</v>
      </c>
      <c r="D150" t="s">
        <v>34</v>
      </c>
      <c r="E150" s="1">
        <v>0.35</v>
      </c>
      <c r="F150">
        <v>41.77</v>
      </c>
      <c r="G150">
        <v>3258.0600000000004</v>
      </c>
      <c r="H150">
        <v>56.389500000000005</v>
      </c>
      <c r="I150">
        <f>Table1[[#This Row],[CookiesShipped]]*Table1[[#This Row],[Selling Price]]</f>
        <v>4398.3810000000003</v>
      </c>
      <c r="J150">
        <v>78</v>
      </c>
      <c r="K150">
        <v>4398.3810000000003</v>
      </c>
      <c r="L150">
        <v>1140.3209999999999</v>
      </c>
      <c r="M150">
        <v>0.25925925925925924</v>
      </c>
      <c r="N150" s="2">
        <v>45145</v>
      </c>
      <c r="O150" s="2" t="str">
        <f>TEXT(Table1[[#This Row],[OrderDate]],"dddd")</f>
        <v>Monday</v>
      </c>
      <c r="P150" s="2" t="str">
        <f>IF(AND(Table1[[#This Row],[OrderDate]]&gt;=DATE(2023,7,30),Table1[[#This Row],[OrderDate]]&lt;=DATE(2023,8,5)),"Week 1",
 IF(AND(Table1[[#This Row],[OrderDate]]&gt;=DATE(2023,8,6),Table1[[#This Row],[OrderDate]]&lt;=DATE(2023,8,12)),"Week 2",
 IF(AND(Table1[[#This Row],[OrderDate]]&gt;=DATE(2023,8,13),Table1[[#This Row],[OrderDate]]&lt;=DATE(2023,8,19)),"Week 3",
 IF(AND(Table1[[#This Row],[OrderDate]]&gt;=DATE(2023,8,20),Table1[[#This Row],[OrderDate]]&lt;=DATE(2023,8,26)),"Week 4","Week 5"))))</f>
        <v>Week 2</v>
      </c>
      <c r="Q150" s="2">
        <v>45166</v>
      </c>
      <c r="R150" s="2" t="str">
        <f>TEXT(Table1[[#This Row],[ShipDate]],"dddd")</f>
        <v>Monday</v>
      </c>
      <c r="S150" t="s">
        <v>40</v>
      </c>
      <c r="T150">
        <v>21</v>
      </c>
      <c r="U150" t="str">
        <f>IF(Table1[[#This Row],[DateDifference]]&lt;7,"Within Target","Outside Target")</f>
        <v>Outside Target</v>
      </c>
      <c r="V150" t="s">
        <v>39</v>
      </c>
    </row>
    <row r="151" spans="1:22" x14ac:dyDescent="0.3">
      <c r="A151">
        <v>153</v>
      </c>
      <c r="B151">
        <v>2</v>
      </c>
      <c r="C151" t="s">
        <v>27</v>
      </c>
      <c r="D151" t="s">
        <v>28</v>
      </c>
      <c r="E151" s="1">
        <v>0.35</v>
      </c>
      <c r="F151">
        <v>35.090000000000003</v>
      </c>
      <c r="G151">
        <v>1649.2300000000002</v>
      </c>
      <c r="H151">
        <v>47.371500000000005</v>
      </c>
      <c r="I151">
        <f>Table1[[#This Row],[CookiesShipped]]*Table1[[#This Row],[Selling Price]]</f>
        <v>2226.4605000000001</v>
      </c>
      <c r="J151">
        <v>47</v>
      </c>
      <c r="K151">
        <v>2226.4605000000001</v>
      </c>
      <c r="L151">
        <v>577.23049999999989</v>
      </c>
      <c r="M151">
        <v>0.25925925925925919</v>
      </c>
      <c r="N151" s="2">
        <v>45145</v>
      </c>
      <c r="O151" s="2" t="str">
        <f>TEXT(Table1[[#This Row],[OrderDate]],"dddd")</f>
        <v>Monday</v>
      </c>
      <c r="P151" s="2" t="str">
        <f>IF(AND(Table1[[#This Row],[OrderDate]]&gt;=DATE(2023,7,30),Table1[[#This Row],[OrderDate]]&lt;=DATE(2023,8,5)),"Week 1",
 IF(AND(Table1[[#This Row],[OrderDate]]&gt;=DATE(2023,8,6),Table1[[#This Row],[OrderDate]]&lt;=DATE(2023,8,12)),"Week 2",
 IF(AND(Table1[[#This Row],[OrderDate]]&gt;=DATE(2023,8,13),Table1[[#This Row],[OrderDate]]&lt;=DATE(2023,8,19)),"Week 3",
 IF(AND(Table1[[#This Row],[OrderDate]]&gt;=DATE(2023,8,20),Table1[[#This Row],[OrderDate]]&lt;=DATE(2023,8,26)),"Week 4","Week 5"))))</f>
        <v>Week 2</v>
      </c>
      <c r="Q151" s="2">
        <v>45160</v>
      </c>
      <c r="R151" s="2" t="str">
        <f>TEXT(Table1[[#This Row],[ShipDate]],"dddd")</f>
        <v>Tuesday</v>
      </c>
      <c r="S151" t="s">
        <v>40</v>
      </c>
      <c r="T151">
        <v>15</v>
      </c>
      <c r="U151" t="str">
        <f>IF(Table1[[#This Row],[DateDifference]]&lt;7,"Within Target","Outside Target")</f>
        <v>Outside Target</v>
      </c>
      <c r="V151" t="s">
        <v>39</v>
      </c>
    </row>
    <row r="152" spans="1:22" x14ac:dyDescent="0.3">
      <c r="A152">
        <v>154</v>
      </c>
      <c r="B152">
        <v>3</v>
      </c>
      <c r="C152" t="s">
        <v>33</v>
      </c>
      <c r="D152" t="s">
        <v>34</v>
      </c>
      <c r="E152" s="1">
        <v>0.35</v>
      </c>
      <c r="F152">
        <v>46.82</v>
      </c>
      <c r="G152">
        <v>4401.08</v>
      </c>
      <c r="H152">
        <v>63.207000000000008</v>
      </c>
      <c r="I152">
        <f>Table1[[#This Row],[CookiesShipped]]*Table1[[#This Row],[Selling Price]]</f>
        <v>5941.4580000000005</v>
      </c>
      <c r="J152">
        <v>94</v>
      </c>
      <c r="K152">
        <v>5941.4580000000005</v>
      </c>
      <c r="L152">
        <v>1540.3780000000006</v>
      </c>
      <c r="M152">
        <v>0.25925925925925936</v>
      </c>
      <c r="N152" s="2">
        <v>45143</v>
      </c>
      <c r="O152" s="2" t="str">
        <f>TEXT(Table1[[#This Row],[OrderDate]],"dddd")</f>
        <v>Saturday</v>
      </c>
      <c r="P152" s="2" t="str">
        <f>IF(AND(Table1[[#This Row],[OrderDate]]&gt;=DATE(2023,7,30),Table1[[#This Row],[OrderDate]]&lt;=DATE(2023,8,5)),"Week 1",
 IF(AND(Table1[[#This Row],[OrderDate]]&gt;=DATE(2023,8,6),Table1[[#This Row],[OrderDate]]&lt;=DATE(2023,8,12)),"Week 2",
 IF(AND(Table1[[#This Row],[OrderDate]]&gt;=DATE(2023,8,13),Table1[[#This Row],[OrderDate]]&lt;=DATE(2023,8,19)),"Week 3",
 IF(AND(Table1[[#This Row],[OrderDate]]&gt;=DATE(2023,8,20),Table1[[#This Row],[OrderDate]]&lt;=DATE(2023,8,26)),"Week 4","Week 5"))))</f>
        <v>Week 1</v>
      </c>
      <c r="Q152" s="2">
        <v>45163</v>
      </c>
      <c r="R152" s="2" t="str">
        <f>TEXT(Table1[[#This Row],[ShipDate]],"dddd")</f>
        <v>Friday</v>
      </c>
      <c r="S152" t="s">
        <v>41</v>
      </c>
      <c r="T152">
        <v>20</v>
      </c>
      <c r="U152" t="str">
        <f>IF(Table1[[#This Row],[DateDifference]]&lt;7,"Within Target","Outside Target")</f>
        <v>Outside Target</v>
      </c>
      <c r="V152" t="s">
        <v>25</v>
      </c>
    </row>
    <row r="153" spans="1:22" x14ac:dyDescent="0.3">
      <c r="A153">
        <v>158</v>
      </c>
      <c r="B153">
        <v>1</v>
      </c>
      <c r="C153" t="s">
        <v>22</v>
      </c>
      <c r="D153" t="s">
        <v>23</v>
      </c>
      <c r="E153" s="1">
        <v>0.35</v>
      </c>
      <c r="F153">
        <v>39.630000000000003</v>
      </c>
      <c r="G153">
        <v>634.08000000000004</v>
      </c>
      <c r="H153">
        <v>53.500500000000009</v>
      </c>
      <c r="I153">
        <f>Table1[[#This Row],[CookiesShipped]]*Table1[[#This Row],[Selling Price]]</f>
        <v>856.00800000000015</v>
      </c>
      <c r="J153">
        <v>16</v>
      </c>
      <c r="K153">
        <v>856.00800000000015</v>
      </c>
      <c r="L153">
        <v>221.92800000000011</v>
      </c>
      <c r="M153">
        <v>0.25925925925925936</v>
      </c>
      <c r="N153" s="2">
        <v>45145</v>
      </c>
      <c r="O153" s="2" t="str">
        <f>TEXT(Table1[[#This Row],[OrderDate]],"dddd")</f>
        <v>Monday</v>
      </c>
      <c r="P153" s="2" t="str">
        <f>IF(AND(Table1[[#This Row],[OrderDate]]&gt;=DATE(2023,7,30),Table1[[#This Row],[OrderDate]]&lt;=DATE(2023,8,5)),"Week 1",
 IF(AND(Table1[[#This Row],[OrderDate]]&gt;=DATE(2023,8,6),Table1[[#This Row],[OrderDate]]&lt;=DATE(2023,8,12)),"Week 2",
 IF(AND(Table1[[#This Row],[OrderDate]]&gt;=DATE(2023,8,13),Table1[[#This Row],[OrderDate]]&lt;=DATE(2023,8,19)),"Week 3",
 IF(AND(Table1[[#This Row],[OrderDate]]&gt;=DATE(2023,8,20),Table1[[#This Row],[OrderDate]]&lt;=DATE(2023,8,26)),"Week 4","Week 5"))))</f>
        <v>Week 2</v>
      </c>
      <c r="Q153" s="2">
        <v>45146</v>
      </c>
      <c r="R153" s="2" t="str">
        <f>TEXT(Table1[[#This Row],[ShipDate]],"dddd")</f>
        <v>Tuesday</v>
      </c>
      <c r="S153" t="s">
        <v>41</v>
      </c>
      <c r="T153">
        <v>1</v>
      </c>
      <c r="U153" t="str">
        <f>IF(Table1[[#This Row],[DateDifference]]&lt;7,"Within Target","Outside Target")</f>
        <v>Within Target</v>
      </c>
      <c r="V153" t="s">
        <v>39</v>
      </c>
    </row>
    <row r="154" spans="1:22" x14ac:dyDescent="0.3">
      <c r="A154">
        <v>160</v>
      </c>
      <c r="B154">
        <v>2</v>
      </c>
      <c r="C154" t="s">
        <v>27</v>
      </c>
      <c r="D154" t="s">
        <v>28</v>
      </c>
      <c r="E154" s="1">
        <v>0.35</v>
      </c>
      <c r="F154">
        <v>19.57</v>
      </c>
      <c r="G154">
        <v>1761.3</v>
      </c>
      <c r="H154">
        <v>26.419500000000003</v>
      </c>
      <c r="I154">
        <f>Table1[[#This Row],[CookiesShipped]]*Table1[[#This Row],[Selling Price]]</f>
        <v>2377.7550000000001</v>
      </c>
      <c r="J154">
        <v>90</v>
      </c>
      <c r="K154">
        <v>2377.7550000000001</v>
      </c>
      <c r="L154">
        <v>616.45500000000015</v>
      </c>
      <c r="M154">
        <v>0.2592592592592593</v>
      </c>
      <c r="N154" s="2">
        <v>45146</v>
      </c>
      <c r="O154" s="2" t="str">
        <f>TEXT(Table1[[#This Row],[OrderDate]],"dddd")</f>
        <v>Tuesday</v>
      </c>
      <c r="P154" s="2" t="str">
        <f>IF(AND(Table1[[#This Row],[OrderDate]]&gt;=DATE(2023,7,30),Table1[[#This Row],[OrderDate]]&lt;=DATE(2023,8,5)),"Week 1",
 IF(AND(Table1[[#This Row],[OrderDate]]&gt;=DATE(2023,8,6),Table1[[#This Row],[OrderDate]]&lt;=DATE(2023,8,12)),"Week 2",
 IF(AND(Table1[[#This Row],[OrderDate]]&gt;=DATE(2023,8,13),Table1[[#This Row],[OrderDate]]&lt;=DATE(2023,8,19)),"Week 3",
 IF(AND(Table1[[#This Row],[OrderDate]]&gt;=DATE(2023,8,20),Table1[[#This Row],[OrderDate]]&lt;=DATE(2023,8,26)),"Week 4","Week 5"))))</f>
        <v>Week 2</v>
      </c>
      <c r="Q154" s="2">
        <v>45151</v>
      </c>
      <c r="R154" s="2" t="str">
        <f>TEXT(Table1[[#This Row],[ShipDate]],"dddd")</f>
        <v>Sunday</v>
      </c>
      <c r="S154" t="s">
        <v>41</v>
      </c>
      <c r="T154">
        <v>5</v>
      </c>
      <c r="U154" t="str">
        <f>IF(Table1[[#This Row],[DateDifference]]&lt;7,"Within Target","Outside Target")</f>
        <v>Within Target</v>
      </c>
      <c r="V154" t="s">
        <v>32</v>
      </c>
    </row>
    <row r="155" spans="1:22" x14ac:dyDescent="0.3">
      <c r="A155">
        <v>168</v>
      </c>
      <c r="B155">
        <v>3</v>
      </c>
      <c r="C155" t="s">
        <v>33</v>
      </c>
      <c r="D155" t="s">
        <v>34</v>
      </c>
      <c r="E155" s="1">
        <v>0.35</v>
      </c>
      <c r="F155">
        <v>11.95</v>
      </c>
      <c r="G155">
        <v>119.5</v>
      </c>
      <c r="H155">
        <v>16.1325</v>
      </c>
      <c r="I155">
        <f>Table1[[#This Row],[CookiesShipped]]*Table1[[#This Row],[Selling Price]]</f>
        <v>161.32499999999999</v>
      </c>
      <c r="J155">
        <v>10</v>
      </c>
      <c r="K155">
        <v>161.32499999999999</v>
      </c>
      <c r="L155">
        <v>41.824999999999989</v>
      </c>
      <c r="M155">
        <v>0.25925925925925919</v>
      </c>
      <c r="N155" s="2">
        <v>45160</v>
      </c>
      <c r="O155" s="2" t="str">
        <f>TEXT(Table1[[#This Row],[OrderDate]],"dddd")</f>
        <v>Tuesday</v>
      </c>
      <c r="P155" s="2" t="str">
        <f>IF(AND(Table1[[#This Row],[OrderDate]]&gt;=DATE(2023,7,30),Table1[[#This Row],[OrderDate]]&lt;=DATE(2023,8,5)),"Week 1",
 IF(AND(Table1[[#This Row],[OrderDate]]&gt;=DATE(2023,8,6),Table1[[#This Row],[OrderDate]]&lt;=DATE(2023,8,12)),"Week 2",
 IF(AND(Table1[[#This Row],[OrderDate]]&gt;=DATE(2023,8,13),Table1[[#This Row],[OrderDate]]&lt;=DATE(2023,8,19)),"Week 3",
 IF(AND(Table1[[#This Row],[OrderDate]]&gt;=DATE(2023,8,20),Table1[[#This Row],[OrderDate]]&lt;=DATE(2023,8,26)),"Week 4","Week 5"))))</f>
        <v>Week 4</v>
      </c>
      <c r="Q155" s="2">
        <v>45163</v>
      </c>
      <c r="R155" s="2" t="str">
        <f>TEXT(Table1[[#This Row],[ShipDate]],"dddd")</f>
        <v>Friday</v>
      </c>
      <c r="S155" t="s">
        <v>40</v>
      </c>
      <c r="T155">
        <v>3</v>
      </c>
      <c r="U155" t="str">
        <f>IF(Table1[[#This Row],[DateDifference]]&lt;7,"Within Target","Outside Target")</f>
        <v>Within Target</v>
      </c>
      <c r="V155" t="s">
        <v>32</v>
      </c>
    </row>
    <row r="156" spans="1:22" x14ac:dyDescent="0.3">
      <c r="A156">
        <v>171</v>
      </c>
      <c r="B156">
        <v>1</v>
      </c>
      <c r="C156" t="s">
        <v>22</v>
      </c>
      <c r="D156" t="s">
        <v>23</v>
      </c>
      <c r="E156" s="1">
        <v>0.35</v>
      </c>
      <c r="F156">
        <v>7.33</v>
      </c>
      <c r="G156">
        <v>249.22</v>
      </c>
      <c r="H156">
        <v>9.8955000000000002</v>
      </c>
      <c r="I156">
        <f>Table1[[#This Row],[CookiesShipped]]*Table1[[#This Row],[Selling Price]]</f>
        <v>336.447</v>
      </c>
      <c r="J156">
        <v>34</v>
      </c>
      <c r="K156">
        <v>336.447</v>
      </c>
      <c r="L156">
        <v>87.227000000000004</v>
      </c>
      <c r="M156">
        <v>0.25925925925925924</v>
      </c>
      <c r="N156" s="2">
        <v>45143</v>
      </c>
      <c r="O156" s="2" t="str">
        <f>TEXT(Table1[[#This Row],[OrderDate]],"dddd")</f>
        <v>Saturday</v>
      </c>
      <c r="P156" s="2" t="str">
        <f>IF(AND(Table1[[#This Row],[OrderDate]]&gt;=DATE(2023,7,30),Table1[[#This Row],[OrderDate]]&lt;=DATE(2023,8,5)),"Week 1",
 IF(AND(Table1[[#This Row],[OrderDate]]&gt;=DATE(2023,8,6),Table1[[#This Row],[OrderDate]]&lt;=DATE(2023,8,12)),"Week 2",
 IF(AND(Table1[[#This Row],[OrderDate]]&gt;=DATE(2023,8,13),Table1[[#This Row],[OrderDate]]&lt;=DATE(2023,8,19)),"Week 3",
 IF(AND(Table1[[#This Row],[OrderDate]]&gt;=DATE(2023,8,20),Table1[[#This Row],[OrderDate]]&lt;=DATE(2023,8,26)),"Week 4","Week 5"))))</f>
        <v>Week 1</v>
      </c>
      <c r="Q156" s="2">
        <v>45158</v>
      </c>
      <c r="R156" s="2" t="str">
        <f>TEXT(Table1[[#This Row],[ShipDate]],"dddd")</f>
        <v>Sunday</v>
      </c>
      <c r="S156" t="s">
        <v>41</v>
      </c>
      <c r="T156">
        <v>15</v>
      </c>
      <c r="U156" t="str">
        <f>IF(Table1[[#This Row],[DateDifference]]&lt;7,"Within Target","Outside Target")</f>
        <v>Outside Target</v>
      </c>
      <c r="V156" t="s">
        <v>25</v>
      </c>
    </row>
    <row r="157" spans="1:22" x14ac:dyDescent="0.3">
      <c r="A157">
        <v>172</v>
      </c>
      <c r="B157">
        <v>4</v>
      </c>
      <c r="C157" t="s">
        <v>36</v>
      </c>
      <c r="D157" t="s">
        <v>37</v>
      </c>
      <c r="E157" s="1">
        <v>0.35</v>
      </c>
      <c r="F157">
        <v>20.149999999999999</v>
      </c>
      <c r="G157">
        <v>1047.8</v>
      </c>
      <c r="H157">
        <v>27.202500000000001</v>
      </c>
      <c r="I157">
        <f>Table1[[#This Row],[CookiesShipped]]*Table1[[#This Row],[Selling Price]]</f>
        <v>1414.53</v>
      </c>
      <c r="J157">
        <v>52</v>
      </c>
      <c r="K157">
        <v>1414.53</v>
      </c>
      <c r="L157">
        <v>366.73</v>
      </c>
      <c r="M157">
        <v>0.2592592592592593</v>
      </c>
      <c r="N157" s="2">
        <v>45159</v>
      </c>
      <c r="O157" s="2" t="str">
        <f>TEXT(Table1[[#This Row],[OrderDate]],"dddd")</f>
        <v>Monday</v>
      </c>
      <c r="P157" s="2" t="str">
        <f>IF(AND(Table1[[#This Row],[OrderDate]]&gt;=DATE(2023,7,30),Table1[[#This Row],[OrderDate]]&lt;=DATE(2023,8,5)),"Week 1",
 IF(AND(Table1[[#This Row],[OrderDate]]&gt;=DATE(2023,8,6),Table1[[#This Row],[OrderDate]]&lt;=DATE(2023,8,12)),"Week 2",
 IF(AND(Table1[[#This Row],[OrderDate]]&gt;=DATE(2023,8,13),Table1[[#This Row],[OrderDate]]&lt;=DATE(2023,8,19)),"Week 3",
 IF(AND(Table1[[#This Row],[OrderDate]]&gt;=DATE(2023,8,20),Table1[[#This Row],[OrderDate]]&lt;=DATE(2023,8,26)),"Week 4","Week 5"))))</f>
        <v>Week 4</v>
      </c>
      <c r="Q157" s="2">
        <v>45163</v>
      </c>
      <c r="R157" s="2" t="str">
        <f>TEXT(Table1[[#This Row],[ShipDate]],"dddd")</f>
        <v>Friday</v>
      </c>
      <c r="S157" t="s">
        <v>40</v>
      </c>
      <c r="T157">
        <v>4</v>
      </c>
      <c r="U157" t="str">
        <f>IF(Table1[[#This Row],[DateDifference]]&lt;7,"Within Target","Outside Target")</f>
        <v>Within Target</v>
      </c>
      <c r="V157" t="s">
        <v>39</v>
      </c>
    </row>
    <row r="158" spans="1:22" x14ac:dyDescent="0.3">
      <c r="A158">
        <v>173</v>
      </c>
      <c r="B158">
        <v>4</v>
      </c>
      <c r="C158" t="s">
        <v>36</v>
      </c>
      <c r="D158" t="s">
        <v>37</v>
      </c>
      <c r="E158" s="1">
        <v>0.35</v>
      </c>
      <c r="F158">
        <v>11.05</v>
      </c>
      <c r="G158">
        <v>1049.75</v>
      </c>
      <c r="H158">
        <v>14.917500000000002</v>
      </c>
      <c r="I158">
        <f>Table1[[#This Row],[CookiesShipped]]*Table1[[#This Row],[Selling Price]]</f>
        <v>1417.1625000000001</v>
      </c>
      <c r="J158">
        <v>95</v>
      </c>
      <c r="K158">
        <v>1417.1625000000001</v>
      </c>
      <c r="L158">
        <v>367.41250000000014</v>
      </c>
      <c r="M158">
        <v>0.25925925925925936</v>
      </c>
      <c r="N158" s="2">
        <v>45156</v>
      </c>
      <c r="O158" s="2" t="str">
        <f>TEXT(Table1[[#This Row],[OrderDate]],"dddd")</f>
        <v>Friday</v>
      </c>
      <c r="P158" s="2" t="str">
        <f>IF(AND(Table1[[#This Row],[OrderDate]]&gt;=DATE(2023,7,30),Table1[[#This Row],[OrderDate]]&lt;=DATE(2023,8,5)),"Week 1",
 IF(AND(Table1[[#This Row],[OrderDate]]&gt;=DATE(2023,8,6),Table1[[#This Row],[OrderDate]]&lt;=DATE(2023,8,12)),"Week 2",
 IF(AND(Table1[[#This Row],[OrderDate]]&gt;=DATE(2023,8,13),Table1[[#This Row],[OrderDate]]&lt;=DATE(2023,8,19)),"Week 3",
 IF(AND(Table1[[#This Row],[OrderDate]]&gt;=DATE(2023,8,20),Table1[[#This Row],[OrderDate]]&lt;=DATE(2023,8,26)),"Week 4","Week 5"))))</f>
        <v>Week 3</v>
      </c>
      <c r="Q158" s="2">
        <v>45158</v>
      </c>
      <c r="R158" s="2" t="str">
        <f>TEXT(Table1[[#This Row],[ShipDate]],"dddd")</f>
        <v>Sunday</v>
      </c>
      <c r="S158" t="s">
        <v>41</v>
      </c>
      <c r="T158">
        <v>2</v>
      </c>
      <c r="U158" t="str">
        <f>IF(Table1[[#This Row],[DateDifference]]&lt;7,"Within Target","Outside Target")</f>
        <v>Within Target</v>
      </c>
      <c r="V158" t="s">
        <v>35</v>
      </c>
    </row>
    <row r="159" spans="1:22" x14ac:dyDescent="0.3">
      <c r="A159">
        <v>174</v>
      </c>
      <c r="B159">
        <v>1</v>
      </c>
      <c r="C159" t="s">
        <v>22</v>
      </c>
      <c r="D159" t="s">
        <v>23</v>
      </c>
      <c r="E159" s="1">
        <v>0.35</v>
      </c>
      <c r="F159">
        <v>7.85</v>
      </c>
      <c r="G159">
        <v>78.5</v>
      </c>
      <c r="H159">
        <v>10.5975</v>
      </c>
      <c r="I159">
        <f>Table1[[#This Row],[CookiesShipped]]*Table1[[#This Row],[Selling Price]]</f>
        <v>105.97499999999999</v>
      </c>
      <c r="J159">
        <v>10</v>
      </c>
      <c r="K159">
        <v>105.97499999999999</v>
      </c>
      <c r="L159">
        <v>27.474999999999994</v>
      </c>
      <c r="M159">
        <v>0.25925925925925924</v>
      </c>
      <c r="N159" s="2">
        <v>45158</v>
      </c>
      <c r="O159" s="2" t="str">
        <f>TEXT(Table1[[#This Row],[OrderDate]],"dddd")</f>
        <v>Sunday</v>
      </c>
      <c r="P159" s="2" t="str">
        <f>IF(AND(Table1[[#This Row],[OrderDate]]&gt;=DATE(2023,7,30),Table1[[#This Row],[OrderDate]]&lt;=DATE(2023,8,5)),"Week 1",
 IF(AND(Table1[[#This Row],[OrderDate]]&gt;=DATE(2023,8,6),Table1[[#This Row],[OrderDate]]&lt;=DATE(2023,8,12)),"Week 2",
 IF(AND(Table1[[#This Row],[OrderDate]]&gt;=DATE(2023,8,13),Table1[[#This Row],[OrderDate]]&lt;=DATE(2023,8,19)),"Week 3",
 IF(AND(Table1[[#This Row],[OrderDate]]&gt;=DATE(2023,8,20),Table1[[#This Row],[OrderDate]]&lt;=DATE(2023,8,26)),"Week 4","Week 5"))))</f>
        <v>Week 4</v>
      </c>
      <c r="Q159" s="2">
        <v>45162</v>
      </c>
      <c r="R159" s="2" t="str">
        <f>TEXT(Table1[[#This Row],[ShipDate]],"dddd")</f>
        <v>Thursday</v>
      </c>
      <c r="S159" t="s">
        <v>41</v>
      </c>
      <c r="T159">
        <v>4</v>
      </c>
      <c r="U159" t="str">
        <f>IF(Table1[[#This Row],[DateDifference]]&lt;7,"Within Target","Outside Target")</f>
        <v>Within Target</v>
      </c>
      <c r="V159" t="s">
        <v>38</v>
      </c>
    </row>
    <row r="160" spans="1:22" x14ac:dyDescent="0.3">
      <c r="A160">
        <v>177</v>
      </c>
      <c r="B160">
        <v>4</v>
      </c>
      <c r="C160" t="s">
        <v>36</v>
      </c>
      <c r="D160" t="s">
        <v>37</v>
      </c>
      <c r="E160" s="1">
        <v>0.35</v>
      </c>
      <c r="F160">
        <v>41.44</v>
      </c>
      <c r="G160">
        <v>3978.24</v>
      </c>
      <c r="H160">
        <v>55.944000000000003</v>
      </c>
      <c r="I160">
        <f>Table1[[#This Row],[CookiesShipped]]*Table1[[#This Row],[Selling Price]]</f>
        <v>5370.6239999999998</v>
      </c>
      <c r="J160">
        <v>96</v>
      </c>
      <c r="K160">
        <v>5370.6239999999998</v>
      </c>
      <c r="L160">
        <v>1392.384</v>
      </c>
      <c r="M160">
        <v>0.25925925925925924</v>
      </c>
      <c r="N160" s="2">
        <v>45148</v>
      </c>
      <c r="O160" s="2" t="str">
        <f>TEXT(Table1[[#This Row],[OrderDate]],"dddd")</f>
        <v>Thursday</v>
      </c>
      <c r="P160" s="2" t="str">
        <f>IF(AND(Table1[[#This Row],[OrderDate]]&gt;=DATE(2023,7,30),Table1[[#This Row],[OrderDate]]&lt;=DATE(2023,8,5)),"Week 1",
 IF(AND(Table1[[#This Row],[OrderDate]]&gt;=DATE(2023,8,6),Table1[[#This Row],[OrderDate]]&lt;=DATE(2023,8,12)),"Week 2",
 IF(AND(Table1[[#This Row],[OrderDate]]&gt;=DATE(2023,8,13),Table1[[#This Row],[OrderDate]]&lt;=DATE(2023,8,19)),"Week 3",
 IF(AND(Table1[[#This Row],[OrderDate]]&gt;=DATE(2023,8,20),Table1[[#This Row],[OrderDate]]&lt;=DATE(2023,8,26)),"Week 4","Week 5"))))</f>
        <v>Week 2</v>
      </c>
      <c r="Q160" s="2">
        <v>45151</v>
      </c>
      <c r="R160" s="2" t="str">
        <f>TEXT(Table1[[#This Row],[ShipDate]],"dddd")</f>
        <v>Sunday</v>
      </c>
      <c r="S160" t="s">
        <v>40</v>
      </c>
      <c r="T160">
        <v>3</v>
      </c>
      <c r="U160" t="str">
        <f>IF(Table1[[#This Row],[DateDifference]]&lt;7,"Within Target","Outside Target")</f>
        <v>Within Target</v>
      </c>
      <c r="V160" t="s">
        <v>29</v>
      </c>
    </row>
    <row r="161" spans="1:22" x14ac:dyDescent="0.3">
      <c r="A161">
        <v>180</v>
      </c>
      <c r="B161">
        <v>3</v>
      </c>
      <c r="C161" t="s">
        <v>33</v>
      </c>
      <c r="D161" t="s">
        <v>34</v>
      </c>
      <c r="E161" s="1">
        <v>0.35</v>
      </c>
      <c r="F161">
        <v>39.21</v>
      </c>
      <c r="G161">
        <v>156.84</v>
      </c>
      <c r="H161">
        <v>52.933500000000002</v>
      </c>
      <c r="I161">
        <f>Table1[[#This Row],[CookiesShipped]]*Table1[[#This Row],[Selling Price]]</f>
        <v>211.73400000000001</v>
      </c>
      <c r="J161">
        <v>4</v>
      </c>
      <c r="K161">
        <v>211.73400000000001</v>
      </c>
      <c r="L161">
        <v>54.894000000000005</v>
      </c>
      <c r="M161">
        <v>0.2592592592592593</v>
      </c>
      <c r="N161" s="2">
        <v>45146</v>
      </c>
      <c r="O161" s="2" t="str">
        <f>TEXT(Table1[[#This Row],[OrderDate]],"dddd")</f>
        <v>Tuesday</v>
      </c>
      <c r="P161" s="2" t="str">
        <f>IF(AND(Table1[[#This Row],[OrderDate]]&gt;=DATE(2023,7,30),Table1[[#This Row],[OrderDate]]&lt;=DATE(2023,8,5)),"Week 1",
 IF(AND(Table1[[#This Row],[OrderDate]]&gt;=DATE(2023,8,6),Table1[[#This Row],[OrderDate]]&lt;=DATE(2023,8,12)),"Week 2",
 IF(AND(Table1[[#This Row],[OrderDate]]&gt;=DATE(2023,8,13),Table1[[#This Row],[OrderDate]]&lt;=DATE(2023,8,19)),"Week 3",
 IF(AND(Table1[[#This Row],[OrderDate]]&gt;=DATE(2023,8,20),Table1[[#This Row],[OrderDate]]&lt;=DATE(2023,8,26)),"Week 4","Week 5"))))</f>
        <v>Week 2</v>
      </c>
      <c r="Q161" s="2">
        <v>45149</v>
      </c>
      <c r="R161" s="2" t="str">
        <f>TEXT(Table1[[#This Row],[ShipDate]],"dddd")</f>
        <v>Friday</v>
      </c>
      <c r="S161" t="s">
        <v>40</v>
      </c>
      <c r="T161">
        <v>3</v>
      </c>
      <c r="U161" t="str">
        <f>IF(Table1[[#This Row],[DateDifference]]&lt;7,"Within Target","Outside Target")</f>
        <v>Within Target</v>
      </c>
      <c r="V161" t="s">
        <v>32</v>
      </c>
    </row>
    <row r="162" spans="1:22" x14ac:dyDescent="0.3">
      <c r="A162">
        <v>187</v>
      </c>
      <c r="B162">
        <v>1</v>
      </c>
      <c r="C162" t="s">
        <v>22</v>
      </c>
      <c r="D162" t="s">
        <v>23</v>
      </c>
      <c r="E162" s="1">
        <v>0.35</v>
      </c>
      <c r="F162">
        <v>48.43</v>
      </c>
      <c r="G162">
        <v>4407.13</v>
      </c>
      <c r="H162">
        <v>65.380499999999998</v>
      </c>
      <c r="I162">
        <f>Table1[[#This Row],[CookiesShipped]]*Table1[[#This Row],[Selling Price]]</f>
        <v>5949.6255000000001</v>
      </c>
      <c r="J162">
        <v>91</v>
      </c>
      <c r="K162">
        <v>5949.6255000000001</v>
      </c>
      <c r="L162">
        <v>1542.4955</v>
      </c>
      <c r="M162">
        <v>0.25925925925925924</v>
      </c>
      <c r="N162" s="2">
        <v>45145</v>
      </c>
      <c r="O162" s="2" t="str">
        <f>TEXT(Table1[[#This Row],[OrderDate]],"dddd")</f>
        <v>Monday</v>
      </c>
      <c r="P162" s="2" t="str">
        <f>IF(AND(Table1[[#This Row],[OrderDate]]&gt;=DATE(2023,7,30),Table1[[#This Row],[OrderDate]]&lt;=DATE(2023,8,5)),"Week 1",
 IF(AND(Table1[[#This Row],[OrderDate]]&gt;=DATE(2023,8,6),Table1[[#This Row],[OrderDate]]&lt;=DATE(2023,8,12)),"Week 2",
 IF(AND(Table1[[#This Row],[OrderDate]]&gt;=DATE(2023,8,13),Table1[[#This Row],[OrderDate]]&lt;=DATE(2023,8,19)),"Week 3",
 IF(AND(Table1[[#This Row],[OrderDate]]&gt;=DATE(2023,8,20),Table1[[#This Row],[OrderDate]]&lt;=DATE(2023,8,26)),"Week 4","Week 5"))))</f>
        <v>Week 2</v>
      </c>
      <c r="Q162" s="2">
        <v>45148</v>
      </c>
      <c r="R162" s="2" t="str">
        <f>TEXT(Table1[[#This Row],[ShipDate]],"dddd")</f>
        <v>Thursday</v>
      </c>
      <c r="S162" t="s">
        <v>40</v>
      </c>
      <c r="T162">
        <v>3</v>
      </c>
      <c r="U162" t="str">
        <f>IF(Table1[[#This Row],[DateDifference]]&lt;7,"Within Target","Outside Target")</f>
        <v>Within Target</v>
      </c>
      <c r="V162" t="s">
        <v>39</v>
      </c>
    </row>
    <row r="163" spans="1:22" x14ac:dyDescent="0.3">
      <c r="A163">
        <v>190</v>
      </c>
      <c r="B163">
        <v>1</v>
      </c>
      <c r="C163" t="s">
        <v>22</v>
      </c>
      <c r="D163" t="s">
        <v>23</v>
      </c>
      <c r="E163" s="1">
        <v>0.35</v>
      </c>
      <c r="F163">
        <v>47.23</v>
      </c>
      <c r="G163">
        <v>566.76</v>
      </c>
      <c r="H163">
        <v>63.7605</v>
      </c>
      <c r="I163">
        <f>Table1[[#This Row],[CookiesShipped]]*Table1[[#This Row],[Selling Price]]</f>
        <v>765.12599999999998</v>
      </c>
      <c r="J163">
        <v>12</v>
      </c>
      <c r="K163">
        <v>765.12599999999998</v>
      </c>
      <c r="L163">
        <v>198.36599999999999</v>
      </c>
      <c r="M163">
        <v>0.25925925925925924</v>
      </c>
      <c r="N163" s="2">
        <v>45154</v>
      </c>
      <c r="O163" s="2" t="str">
        <f>TEXT(Table1[[#This Row],[OrderDate]],"dddd")</f>
        <v>Wednesday</v>
      </c>
      <c r="P163" s="2" t="str">
        <f>IF(AND(Table1[[#This Row],[OrderDate]]&gt;=DATE(2023,7,30),Table1[[#This Row],[OrderDate]]&lt;=DATE(2023,8,5)),"Week 1",
 IF(AND(Table1[[#This Row],[OrderDate]]&gt;=DATE(2023,8,6),Table1[[#This Row],[OrderDate]]&lt;=DATE(2023,8,12)),"Week 2",
 IF(AND(Table1[[#This Row],[OrderDate]]&gt;=DATE(2023,8,13),Table1[[#This Row],[OrderDate]]&lt;=DATE(2023,8,19)),"Week 3",
 IF(AND(Table1[[#This Row],[OrderDate]]&gt;=DATE(2023,8,20),Table1[[#This Row],[OrderDate]]&lt;=DATE(2023,8,26)),"Week 4","Week 5"))))</f>
        <v>Week 3</v>
      </c>
      <c r="Q163" s="2">
        <v>45168</v>
      </c>
      <c r="R163" s="2" t="str">
        <f>TEXT(Table1[[#This Row],[ShipDate]],"dddd")</f>
        <v>Wednesday</v>
      </c>
      <c r="S163" t="s">
        <v>40</v>
      </c>
      <c r="T163">
        <v>14</v>
      </c>
      <c r="U163" t="str">
        <f>IF(Table1[[#This Row],[DateDifference]]&lt;7,"Within Target","Outside Target")</f>
        <v>Outside Target</v>
      </c>
      <c r="V163" t="s">
        <v>26</v>
      </c>
    </row>
    <row r="164" spans="1:22" x14ac:dyDescent="0.3">
      <c r="A164">
        <v>191</v>
      </c>
      <c r="B164">
        <v>4</v>
      </c>
      <c r="C164" t="s">
        <v>36</v>
      </c>
      <c r="D164" t="s">
        <v>37</v>
      </c>
      <c r="E164" s="1">
        <v>0.35</v>
      </c>
      <c r="F164">
        <v>13.16</v>
      </c>
      <c r="G164">
        <v>658</v>
      </c>
      <c r="H164">
        <v>17.766000000000002</v>
      </c>
      <c r="I164">
        <f>Table1[[#This Row],[CookiesShipped]]*Table1[[#This Row],[Selling Price]]</f>
        <v>888.30000000000007</v>
      </c>
      <c r="J164">
        <v>50</v>
      </c>
      <c r="K164">
        <v>888.30000000000007</v>
      </c>
      <c r="L164">
        <v>230.30000000000007</v>
      </c>
      <c r="M164">
        <v>0.2592592592592593</v>
      </c>
      <c r="N164" s="2">
        <v>45151</v>
      </c>
      <c r="O164" s="2" t="str">
        <f>TEXT(Table1[[#This Row],[OrderDate]],"dddd")</f>
        <v>Sunday</v>
      </c>
      <c r="P164" s="2" t="str">
        <f>IF(AND(Table1[[#This Row],[OrderDate]]&gt;=DATE(2023,7,30),Table1[[#This Row],[OrderDate]]&lt;=DATE(2023,8,5)),"Week 1",
 IF(AND(Table1[[#This Row],[OrderDate]]&gt;=DATE(2023,8,6),Table1[[#This Row],[OrderDate]]&lt;=DATE(2023,8,12)),"Week 2",
 IF(AND(Table1[[#This Row],[OrderDate]]&gt;=DATE(2023,8,13),Table1[[#This Row],[OrderDate]]&lt;=DATE(2023,8,19)),"Week 3",
 IF(AND(Table1[[#This Row],[OrderDate]]&gt;=DATE(2023,8,20),Table1[[#This Row],[OrderDate]]&lt;=DATE(2023,8,26)),"Week 4","Week 5"))))</f>
        <v>Week 3</v>
      </c>
      <c r="Q164" s="2">
        <v>45162</v>
      </c>
      <c r="R164" s="2" t="str">
        <f>TEXT(Table1[[#This Row],[ShipDate]],"dddd")</f>
        <v>Thursday</v>
      </c>
      <c r="S164" t="s">
        <v>41</v>
      </c>
      <c r="T164">
        <v>11</v>
      </c>
      <c r="U164" t="str">
        <f>IF(Table1[[#This Row],[DateDifference]]&lt;7,"Within Target","Outside Target")</f>
        <v>Outside Target</v>
      </c>
      <c r="V164" t="s">
        <v>38</v>
      </c>
    </row>
    <row r="165" spans="1:22" x14ac:dyDescent="0.3">
      <c r="A165">
        <v>192</v>
      </c>
      <c r="B165">
        <v>4</v>
      </c>
      <c r="C165" t="s">
        <v>36</v>
      </c>
      <c r="D165" t="s">
        <v>37</v>
      </c>
      <c r="E165" s="1">
        <v>0.35</v>
      </c>
      <c r="F165">
        <v>7.99</v>
      </c>
      <c r="G165">
        <v>279.65000000000003</v>
      </c>
      <c r="H165">
        <v>10.7865</v>
      </c>
      <c r="I165">
        <f>Table1[[#This Row],[CookiesShipped]]*Table1[[#This Row],[Selling Price]]</f>
        <v>377.52750000000003</v>
      </c>
      <c r="J165">
        <v>35</v>
      </c>
      <c r="K165">
        <v>377.52750000000003</v>
      </c>
      <c r="L165">
        <v>97.877499999999998</v>
      </c>
      <c r="M165">
        <v>0.25925925925925924</v>
      </c>
      <c r="N165" s="2">
        <v>45147</v>
      </c>
      <c r="O165" s="2" t="str">
        <f>TEXT(Table1[[#This Row],[OrderDate]],"dddd")</f>
        <v>Wednesday</v>
      </c>
      <c r="P165" s="2" t="str">
        <f>IF(AND(Table1[[#This Row],[OrderDate]]&gt;=DATE(2023,7,30),Table1[[#This Row],[OrderDate]]&lt;=DATE(2023,8,5)),"Week 1",
 IF(AND(Table1[[#This Row],[OrderDate]]&gt;=DATE(2023,8,6),Table1[[#This Row],[OrderDate]]&lt;=DATE(2023,8,12)),"Week 2",
 IF(AND(Table1[[#This Row],[OrderDate]]&gt;=DATE(2023,8,13),Table1[[#This Row],[OrderDate]]&lt;=DATE(2023,8,19)),"Week 3",
 IF(AND(Table1[[#This Row],[OrderDate]]&gt;=DATE(2023,8,20),Table1[[#This Row],[OrderDate]]&lt;=DATE(2023,8,26)),"Week 4","Week 5"))))</f>
        <v>Week 2</v>
      </c>
      <c r="Q165" s="2">
        <v>45159</v>
      </c>
      <c r="R165" s="2" t="str">
        <f>TEXT(Table1[[#This Row],[ShipDate]],"dddd")</f>
        <v>Monday</v>
      </c>
      <c r="S165" t="s">
        <v>40</v>
      </c>
      <c r="T165">
        <v>12</v>
      </c>
      <c r="U165" t="str">
        <f>IF(Table1[[#This Row],[DateDifference]]&lt;7,"Within Target","Outside Target")</f>
        <v>Outside Target</v>
      </c>
      <c r="V165" t="s">
        <v>26</v>
      </c>
    </row>
    <row r="166" spans="1:22" x14ac:dyDescent="0.3">
      <c r="A166">
        <v>193</v>
      </c>
      <c r="B166">
        <v>3</v>
      </c>
      <c r="C166" t="s">
        <v>33</v>
      </c>
      <c r="D166" t="s">
        <v>34</v>
      </c>
      <c r="E166" s="1">
        <v>0.35</v>
      </c>
      <c r="F166">
        <v>38.35</v>
      </c>
      <c r="G166">
        <v>1265.55</v>
      </c>
      <c r="H166">
        <v>51.772500000000008</v>
      </c>
      <c r="I166">
        <f>Table1[[#This Row],[CookiesShipped]]*Table1[[#This Row],[Selling Price]]</f>
        <v>1708.4925000000003</v>
      </c>
      <c r="J166">
        <v>33</v>
      </c>
      <c r="K166">
        <v>1708.4925000000003</v>
      </c>
      <c r="L166">
        <v>442.94250000000034</v>
      </c>
      <c r="M166">
        <v>0.25925925925925941</v>
      </c>
      <c r="N166" s="2">
        <v>45143</v>
      </c>
      <c r="O166" s="2" t="str">
        <f>TEXT(Table1[[#This Row],[OrderDate]],"dddd")</f>
        <v>Saturday</v>
      </c>
      <c r="P166" s="2" t="str">
        <f>IF(AND(Table1[[#This Row],[OrderDate]]&gt;=DATE(2023,7,30),Table1[[#This Row],[OrderDate]]&lt;=DATE(2023,8,5)),"Week 1",
 IF(AND(Table1[[#This Row],[OrderDate]]&gt;=DATE(2023,8,6),Table1[[#This Row],[OrderDate]]&lt;=DATE(2023,8,12)),"Week 2",
 IF(AND(Table1[[#This Row],[OrderDate]]&gt;=DATE(2023,8,13),Table1[[#This Row],[OrderDate]]&lt;=DATE(2023,8,19)),"Week 3",
 IF(AND(Table1[[#This Row],[OrderDate]]&gt;=DATE(2023,8,20),Table1[[#This Row],[OrderDate]]&lt;=DATE(2023,8,26)),"Week 4","Week 5"))))</f>
        <v>Week 1</v>
      </c>
      <c r="Q166" s="2">
        <v>45151</v>
      </c>
      <c r="R166" s="2" t="str">
        <f>TEXT(Table1[[#This Row],[ShipDate]],"dddd")</f>
        <v>Sunday</v>
      </c>
      <c r="S166" t="s">
        <v>40</v>
      </c>
      <c r="T166">
        <v>8</v>
      </c>
      <c r="U166" t="str">
        <f>IF(Table1[[#This Row],[DateDifference]]&lt;7,"Within Target","Outside Target")</f>
        <v>Outside Target</v>
      </c>
      <c r="V166" t="s">
        <v>25</v>
      </c>
    </row>
    <row r="167" spans="1:22" x14ac:dyDescent="0.3">
      <c r="A167">
        <v>200</v>
      </c>
      <c r="B167">
        <v>2</v>
      </c>
      <c r="C167" t="s">
        <v>27</v>
      </c>
      <c r="D167" t="s">
        <v>28</v>
      </c>
      <c r="E167" s="1">
        <v>0.35</v>
      </c>
      <c r="F167">
        <v>12.39</v>
      </c>
      <c r="G167">
        <v>805.35</v>
      </c>
      <c r="H167">
        <v>16.726500000000001</v>
      </c>
      <c r="I167">
        <f>Table1[[#This Row],[CookiesShipped]]*Table1[[#This Row],[Selling Price]]</f>
        <v>1087.2225000000001</v>
      </c>
      <c r="J167">
        <v>65</v>
      </c>
      <c r="K167">
        <v>1087.2225000000001</v>
      </c>
      <c r="L167">
        <v>281.87250000000006</v>
      </c>
      <c r="M167">
        <v>0.2592592592592593</v>
      </c>
      <c r="N167" s="2">
        <v>45152</v>
      </c>
      <c r="O167" s="2" t="str">
        <f>TEXT(Table1[[#This Row],[OrderDate]],"dddd")</f>
        <v>Monday</v>
      </c>
      <c r="P167" s="2" t="str">
        <f>IF(AND(Table1[[#This Row],[OrderDate]]&gt;=DATE(2023,7,30),Table1[[#This Row],[OrderDate]]&lt;=DATE(2023,8,5)),"Week 1",
 IF(AND(Table1[[#This Row],[OrderDate]]&gt;=DATE(2023,8,6),Table1[[#This Row],[OrderDate]]&lt;=DATE(2023,8,12)),"Week 2",
 IF(AND(Table1[[#This Row],[OrderDate]]&gt;=DATE(2023,8,13),Table1[[#This Row],[OrderDate]]&lt;=DATE(2023,8,19)),"Week 3",
 IF(AND(Table1[[#This Row],[OrderDate]]&gt;=DATE(2023,8,20),Table1[[#This Row],[OrderDate]]&lt;=DATE(2023,8,26)),"Week 4","Week 5"))))</f>
        <v>Week 3</v>
      </c>
      <c r="Q167" s="2">
        <v>45153</v>
      </c>
      <c r="R167" s="2" t="str">
        <f>TEXT(Table1[[#This Row],[ShipDate]],"dddd")</f>
        <v>Tuesday</v>
      </c>
      <c r="S167" t="s">
        <v>40</v>
      </c>
      <c r="T167">
        <v>1</v>
      </c>
      <c r="U167" t="str">
        <f>IF(Table1[[#This Row],[DateDifference]]&lt;7,"Within Target","Outside Target")</f>
        <v>Within Target</v>
      </c>
      <c r="V167" t="s">
        <v>39</v>
      </c>
    </row>
    <row r="168" spans="1:22" x14ac:dyDescent="0.3">
      <c r="A168">
        <v>206</v>
      </c>
      <c r="B168">
        <v>4</v>
      </c>
      <c r="C168" t="s">
        <v>36</v>
      </c>
      <c r="D168" t="s">
        <v>37</v>
      </c>
      <c r="E168" s="1">
        <v>0.35</v>
      </c>
      <c r="F168">
        <v>22.66</v>
      </c>
      <c r="G168">
        <v>657.14</v>
      </c>
      <c r="H168">
        <v>30.591000000000001</v>
      </c>
      <c r="I168">
        <f>Table1[[#This Row],[CookiesShipped]]*Table1[[#This Row],[Selling Price]]</f>
        <v>887.13900000000001</v>
      </c>
      <c r="J168">
        <v>29</v>
      </c>
      <c r="K168">
        <v>887.13900000000001</v>
      </c>
      <c r="L168">
        <v>229.99900000000002</v>
      </c>
      <c r="M168">
        <v>0.2592592592592593</v>
      </c>
      <c r="N168" s="2">
        <v>45163</v>
      </c>
      <c r="O168" s="2" t="str">
        <f>TEXT(Table1[[#This Row],[OrderDate]],"dddd")</f>
        <v>Friday</v>
      </c>
      <c r="P168" s="2" t="str">
        <f>IF(AND(Table1[[#This Row],[OrderDate]]&gt;=DATE(2023,7,30),Table1[[#This Row],[OrderDate]]&lt;=DATE(2023,8,5)),"Week 1",
 IF(AND(Table1[[#This Row],[OrderDate]]&gt;=DATE(2023,8,6),Table1[[#This Row],[OrderDate]]&lt;=DATE(2023,8,12)),"Week 2",
 IF(AND(Table1[[#This Row],[OrderDate]]&gt;=DATE(2023,8,13),Table1[[#This Row],[OrderDate]]&lt;=DATE(2023,8,19)),"Week 3",
 IF(AND(Table1[[#This Row],[OrderDate]]&gt;=DATE(2023,8,20),Table1[[#This Row],[OrderDate]]&lt;=DATE(2023,8,26)),"Week 4","Week 5"))))</f>
        <v>Week 4</v>
      </c>
      <c r="Q168" s="2">
        <v>45169</v>
      </c>
      <c r="R168" s="2" t="str">
        <f>TEXT(Table1[[#This Row],[ShipDate]],"dddd")</f>
        <v>Thursday</v>
      </c>
      <c r="S168" t="s">
        <v>40</v>
      </c>
      <c r="T168">
        <v>6</v>
      </c>
      <c r="U168" t="str">
        <f>IF(Table1[[#This Row],[DateDifference]]&lt;7,"Within Target","Outside Target")</f>
        <v>Within Target</v>
      </c>
      <c r="V168" t="s">
        <v>35</v>
      </c>
    </row>
    <row r="169" spans="1:22" x14ac:dyDescent="0.3">
      <c r="A169">
        <v>210</v>
      </c>
      <c r="B169">
        <v>3</v>
      </c>
      <c r="C169" t="s">
        <v>33</v>
      </c>
      <c r="D169" t="s">
        <v>34</v>
      </c>
      <c r="E169" s="1">
        <v>0.35</v>
      </c>
      <c r="F169">
        <v>25.82</v>
      </c>
      <c r="G169">
        <v>1187.72</v>
      </c>
      <c r="H169">
        <v>34.856999999999999</v>
      </c>
      <c r="I169">
        <f>Table1[[#This Row],[CookiesShipped]]*Table1[[#This Row],[Selling Price]]</f>
        <v>1603.422</v>
      </c>
      <c r="J169">
        <v>46</v>
      </c>
      <c r="K169">
        <v>1603.422</v>
      </c>
      <c r="L169">
        <v>415.702</v>
      </c>
      <c r="M169">
        <v>0.25925925925925924</v>
      </c>
      <c r="N169" s="2">
        <v>45155</v>
      </c>
      <c r="O169" s="2" t="str">
        <f>TEXT(Table1[[#This Row],[OrderDate]],"dddd")</f>
        <v>Thursday</v>
      </c>
      <c r="P169" s="2" t="str">
        <f>IF(AND(Table1[[#This Row],[OrderDate]]&gt;=DATE(2023,7,30),Table1[[#This Row],[OrderDate]]&lt;=DATE(2023,8,5)),"Week 1",
 IF(AND(Table1[[#This Row],[OrderDate]]&gt;=DATE(2023,8,6),Table1[[#This Row],[OrderDate]]&lt;=DATE(2023,8,12)),"Week 2",
 IF(AND(Table1[[#This Row],[OrderDate]]&gt;=DATE(2023,8,13),Table1[[#This Row],[OrderDate]]&lt;=DATE(2023,8,19)),"Week 3",
 IF(AND(Table1[[#This Row],[OrderDate]]&gt;=DATE(2023,8,20),Table1[[#This Row],[OrderDate]]&lt;=DATE(2023,8,26)),"Week 4","Week 5"))))</f>
        <v>Week 3</v>
      </c>
      <c r="Q169" s="2">
        <v>45160</v>
      </c>
      <c r="R169" s="2" t="str">
        <f>TEXT(Table1[[#This Row],[ShipDate]],"dddd")</f>
        <v>Tuesday</v>
      </c>
      <c r="S169" t="s">
        <v>40</v>
      </c>
      <c r="T169">
        <v>5</v>
      </c>
      <c r="U169" t="str">
        <f>IF(Table1[[#This Row],[DateDifference]]&lt;7,"Within Target","Outside Target")</f>
        <v>Within Target</v>
      </c>
      <c r="V169" t="s">
        <v>29</v>
      </c>
    </row>
    <row r="170" spans="1:22" x14ac:dyDescent="0.3">
      <c r="A170">
        <v>215</v>
      </c>
      <c r="B170">
        <v>3</v>
      </c>
      <c r="C170" t="s">
        <v>33</v>
      </c>
      <c r="D170" t="s">
        <v>34</v>
      </c>
      <c r="E170" s="1">
        <v>0.35</v>
      </c>
      <c r="F170">
        <v>45.48</v>
      </c>
      <c r="G170">
        <v>4093.2</v>
      </c>
      <c r="H170">
        <v>61.398000000000003</v>
      </c>
      <c r="I170">
        <f>Table1[[#This Row],[CookiesShipped]]*Table1[[#This Row],[Selling Price]]</f>
        <v>5525.8200000000006</v>
      </c>
      <c r="J170">
        <v>90</v>
      </c>
      <c r="K170">
        <v>5525.8200000000006</v>
      </c>
      <c r="L170">
        <v>1432.6200000000008</v>
      </c>
      <c r="M170">
        <v>0.25925925925925936</v>
      </c>
      <c r="N170" s="2">
        <v>45153</v>
      </c>
      <c r="O170" s="2" t="str">
        <f>TEXT(Table1[[#This Row],[OrderDate]],"dddd")</f>
        <v>Tuesday</v>
      </c>
      <c r="P170" s="2" t="str">
        <f>IF(AND(Table1[[#This Row],[OrderDate]]&gt;=DATE(2023,7,30),Table1[[#This Row],[OrderDate]]&lt;=DATE(2023,8,5)),"Week 1",
 IF(AND(Table1[[#This Row],[OrderDate]]&gt;=DATE(2023,8,6),Table1[[#This Row],[OrderDate]]&lt;=DATE(2023,8,12)),"Week 2",
 IF(AND(Table1[[#This Row],[OrderDate]]&gt;=DATE(2023,8,13),Table1[[#This Row],[OrderDate]]&lt;=DATE(2023,8,19)),"Week 3",
 IF(AND(Table1[[#This Row],[OrderDate]]&gt;=DATE(2023,8,20),Table1[[#This Row],[OrderDate]]&lt;=DATE(2023,8,26)),"Week 4","Week 5"))))</f>
        <v>Week 3</v>
      </c>
      <c r="Q170" s="2">
        <v>45155</v>
      </c>
      <c r="R170" s="2" t="str">
        <f>TEXT(Table1[[#This Row],[ShipDate]],"dddd")</f>
        <v>Thursday</v>
      </c>
      <c r="S170" t="s">
        <v>40</v>
      </c>
      <c r="T170">
        <v>2</v>
      </c>
      <c r="U170" t="str">
        <f>IF(Table1[[#This Row],[DateDifference]]&lt;7,"Within Target","Outside Target")</f>
        <v>Within Target</v>
      </c>
      <c r="V170" t="s">
        <v>32</v>
      </c>
    </row>
    <row r="171" spans="1:22" x14ac:dyDescent="0.3">
      <c r="A171">
        <v>216</v>
      </c>
      <c r="B171">
        <v>5</v>
      </c>
      <c r="C171" t="s">
        <v>30</v>
      </c>
      <c r="D171" t="s">
        <v>31</v>
      </c>
      <c r="E171" s="1">
        <v>0.35</v>
      </c>
      <c r="F171">
        <v>22.28</v>
      </c>
      <c r="G171">
        <v>178.24</v>
      </c>
      <c r="H171">
        <v>30.078000000000003</v>
      </c>
      <c r="I171">
        <f>Table1[[#This Row],[CookiesShipped]]*Table1[[#This Row],[Selling Price]]</f>
        <v>240.62400000000002</v>
      </c>
      <c r="J171">
        <v>8</v>
      </c>
      <c r="K171">
        <v>240.62400000000002</v>
      </c>
      <c r="L171">
        <v>62.384000000000015</v>
      </c>
      <c r="M171">
        <v>0.2592592592592593</v>
      </c>
      <c r="N171" s="2">
        <v>45155</v>
      </c>
      <c r="O171" s="2" t="str">
        <f>TEXT(Table1[[#This Row],[OrderDate]],"dddd")</f>
        <v>Thursday</v>
      </c>
      <c r="P171" s="2" t="str">
        <f>IF(AND(Table1[[#This Row],[OrderDate]]&gt;=DATE(2023,7,30),Table1[[#This Row],[OrderDate]]&lt;=DATE(2023,8,5)),"Week 1",
 IF(AND(Table1[[#This Row],[OrderDate]]&gt;=DATE(2023,8,6),Table1[[#This Row],[OrderDate]]&lt;=DATE(2023,8,12)),"Week 2",
 IF(AND(Table1[[#This Row],[OrderDate]]&gt;=DATE(2023,8,13),Table1[[#This Row],[OrderDate]]&lt;=DATE(2023,8,19)),"Week 3",
 IF(AND(Table1[[#This Row],[OrderDate]]&gt;=DATE(2023,8,20),Table1[[#This Row],[OrderDate]]&lt;=DATE(2023,8,26)),"Week 4","Week 5"))))</f>
        <v>Week 3</v>
      </c>
      <c r="Q171" s="2">
        <v>45165</v>
      </c>
      <c r="R171" s="2" t="str">
        <f>TEXT(Table1[[#This Row],[ShipDate]],"dddd")</f>
        <v>Sunday</v>
      </c>
      <c r="S171" t="s">
        <v>40</v>
      </c>
      <c r="T171">
        <v>10</v>
      </c>
      <c r="U171" t="str">
        <f>IF(Table1[[#This Row],[DateDifference]]&lt;7,"Within Target","Outside Target")</f>
        <v>Outside Target</v>
      </c>
      <c r="V171" t="s">
        <v>29</v>
      </c>
    </row>
    <row r="172" spans="1:22" x14ac:dyDescent="0.3">
      <c r="A172">
        <v>218</v>
      </c>
      <c r="B172">
        <v>3</v>
      </c>
      <c r="C172" t="s">
        <v>33</v>
      </c>
      <c r="D172" t="s">
        <v>34</v>
      </c>
      <c r="E172" s="1">
        <v>0.35</v>
      </c>
      <c r="F172">
        <v>45.79</v>
      </c>
      <c r="G172">
        <v>1190.54</v>
      </c>
      <c r="H172">
        <v>61.816500000000005</v>
      </c>
      <c r="I172">
        <f>Table1[[#This Row],[CookiesShipped]]*Table1[[#This Row],[Selling Price]]</f>
        <v>1607.229</v>
      </c>
      <c r="J172">
        <v>26</v>
      </c>
      <c r="K172">
        <v>1607.229</v>
      </c>
      <c r="L172">
        <v>416.68900000000008</v>
      </c>
      <c r="M172">
        <v>0.2592592592592593</v>
      </c>
      <c r="N172" s="2">
        <v>45156</v>
      </c>
      <c r="O172" s="2" t="str">
        <f>TEXT(Table1[[#This Row],[OrderDate]],"dddd")</f>
        <v>Friday</v>
      </c>
      <c r="P172" s="2" t="str">
        <f>IF(AND(Table1[[#This Row],[OrderDate]]&gt;=DATE(2023,7,30),Table1[[#This Row],[OrderDate]]&lt;=DATE(2023,8,5)),"Week 1",
 IF(AND(Table1[[#This Row],[OrderDate]]&gt;=DATE(2023,8,6),Table1[[#This Row],[OrderDate]]&lt;=DATE(2023,8,12)),"Week 2",
 IF(AND(Table1[[#This Row],[OrderDate]]&gt;=DATE(2023,8,13),Table1[[#This Row],[OrderDate]]&lt;=DATE(2023,8,19)),"Week 3",
 IF(AND(Table1[[#This Row],[OrderDate]]&gt;=DATE(2023,8,20),Table1[[#This Row],[OrderDate]]&lt;=DATE(2023,8,26)),"Week 4","Week 5"))))</f>
        <v>Week 3</v>
      </c>
      <c r="Q172" s="2">
        <v>45166</v>
      </c>
      <c r="R172" s="2" t="str">
        <f>TEXT(Table1[[#This Row],[ShipDate]],"dddd")</f>
        <v>Monday</v>
      </c>
      <c r="S172" t="s">
        <v>40</v>
      </c>
      <c r="T172">
        <v>10</v>
      </c>
      <c r="U172" t="str">
        <f>IF(Table1[[#This Row],[DateDifference]]&lt;7,"Within Target","Outside Target")</f>
        <v>Outside Target</v>
      </c>
      <c r="V172" t="s">
        <v>35</v>
      </c>
    </row>
    <row r="173" spans="1:22" x14ac:dyDescent="0.3">
      <c r="A173">
        <v>219</v>
      </c>
      <c r="B173">
        <v>3</v>
      </c>
      <c r="C173" t="s">
        <v>33</v>
      </c>
      <c r="D173" t="s">
        <v>34</v>
      </c>
      <c r="E173" s="1">
        <v>0.35</v>
      </c>
      <c r="F173">
        <v>33.090000000000003</v>
      </c>
      <c r="G173">
        <v>2448.6600000000003</v>
      </c>
      <c r="H173">
        <v>44.671500000000009</v>
      </c>
      <c r="I173">
        <f>Table1[[#This Row],[CookiesShipped]]*Table1[[#This Row],[Selling Price]]</f>
        <v>3305.6910000000007</v>
      </c>
      <c r="J173">
        <v>74</v>
      </c>
      <c r="K173">
        <v>3305.6910000000007</v>
      </c>
      <c r="L173">
        <v>857.0310000000004</v>
      </c>
      <c r="M173">
        <v>0.2592592592592593</v>
      </c>
      <c r="N173" s="2">
        <v>45139</v>
      </c>
      <c r="O173" s="2" t="str">
        <f>TEXT(Table1[[#This Row],[OrderDate]],"dddd")</f>
        <v>Tuesday</v>
      </c>
      <c r="P173" s="2" t="str">
        <f>IF(AND(Table1[[#This Row],[OrderDate]]&gt;=DATE(2023,7,30),Table1[[#This Row],[OrderDate]]&lt;=DATE(2023,8,5)),"Week 1",
 IF(AND(Table1[[#This Row],[OrderDate]]&gt;=DATE(2023,8,6),Table1[[#This Row],[OrderDate]]&lt;=DATE(2023,8,12)),"Week 2",
 IF(AND(Table1[[#This Row],[OrderDate]]&gt;=DATE(2023,8,13),Table1[[#This Row],[OrderDate]]&lt;=DATE(2023,8,19)),"Week 3",
 IF(AND(Table1[[#This Row],[OrderDate]]&gt;=DATE(2023,8,20),Table1[[#This Row],[OrderDate]]&lt;=DATE(2023,8,26)),"Week 4","Week 5"))))</f>
        <v>Week 1</v>
      </c>
      <c r="Q173" s="2">
        <v>45148</v>
      </c>
      <c r="R173" s="2" t="str">
        <f>TEXT(Table1[[#This Row],[ShipDate]],"dddd")</f>
        <v>Thursday</v>
      </c>
      <c r="S173" t="s">
        <v>40</v>
      </c>
      <c r="T173">
        <v>9</v>
      </c>
      <c r="U173" t="str">
        <f>IF(Table1[[#This Row],[DateDifference]]&lt;7,"Within Target","Outside Target")</f>
        <v>Outside Target</v>
      </c>
      <c r="V173" t="s">
        <v>32</v>
      </c>
    </row>
    <row r="174" spans="1:22" x14ac:dyDescent="0.3">
      <c r="A174">
        <v>220</v>
      </c>
      <c r="B174">
        <v>2</v>
      </c>
      <c r="C174" t="s">
        <v>27</v>
      </c>
      <c r="D174" t="s">
        <v>28</v>
      </c>
      <c r="E174" s="1">
        <v>0.35</v>
      </c>
      <c r="F174">
        <v>10.26</v>
      </c>
      <c r="G174">
        <v>923.4</v>
      </c>
      <c r="H174">
        <v>13.851000000000001</v>
      </c>
      <c r="I174">
        <f>Table1[[#This Row],[CookiesShipped]]*Table1[[#This Row],[Selling Price]]</f>
        <v>1246.5900000000001</v>
      </c>
      <c r="J174">
        <v>90</v>
      </c>
      <c r="K174">
        <v>1246.5900000000001</v>
      </c>
      <c r="L174">
        <v>323.19000000000017</v>
      </c>
      <c r="M174">
        <v>0.25925925925925936</v>
      </c>
      <c r="N174" s="2">
        <v>45144</v>
      </c>
      <c r="O174" s="2" t="str">
        <f>TEXT(Table1[[#This Row],[OrderDate]],"dddd")</f>
        <v>Sunday</v>
      </c>
      <c r="P174" s="2" t="str">
        <f>IF(AND(Table1[[#This Row],[OrderDate]]&gt;=DATE(2023,7,30),Table1[[#This Row],[OrderDate]]&lt;=DATE(2023,8,5)),"Week 1",
 IF(AND(Table1[[#This Row],[OrderDate]]&gt;=DATE(2023,8,6),Table1[[#This Row],[OrderDate]]&lt;=DATE(2023,8,12)),"Week 2",
 IF(AND(Table1[[#This Row],[OrderDate]]&gt;=DATE(2023,8,13),Table1[[#This Row],[OrderDate]]&lt;=DATE(2023,8,19)),"Week 3",
 IF(AND(Table1[[#This Row],[OrderDate]]&gt;=DATE(2023,8,20),Table1[[#This Row],[OrderDate]]&lt;=DATE(2023,8,26)),"Week 4","Week 5"))))</f>
        <v>Week 2</v>
      </c>
      <c r="Q174" s="2">
        <v>45160</v>
      </c>
      <c r="R174" s="2" t="str">
        <f>TEXT(Table1[[#This Row],[ShipDate]],"dddd")</f>
        <v>Tuesday</v>
      </c>
      <c r="S174" t="s">
        <v>40</v>
      </c>
      <c r="T174">
        <v>16</v>
      </c>
      <c r="U174" t="str">
        <f>IF(Table1[[#This Row],[DateDifference]]&lt;7,"Within Target","Outside Target")</f>
        <v>Outside Target</v>
      </c>
      <c r="V174" t="s">
        <v>38</v>
      </c>
    </row>
    <row r="175" spans="1:22" x14ac:dyDescent="0.3">
      <c r="A175">
        <v>221</v>
      </c>
      <c r="B175">
        <v>5</v>
      </c>
      <c r="C175" t="s">
        <v>30</v>
      </c>
      <c r="D175" t="s">
        <v>31</v>
      </c>
      <c r="E175" s="1">
        <v>0.35</v>
      </c>
      <c r="F175">
        <v>47.29</v>
      </c>
      <c r="G175">
        <v>1607.86</v>
      </c>
      <c r="H175">
        <v>63.841500000000003</v>
      </c>
      <c r="I175">
        <f>Table1[[#This Row],[CookiesShipped]]*Table1[[#This Row],[Selling Price]]</f>
        <v>2170.6110000000003</v>
      </c>
      <c r="J175">
        <v>34</v>
      </c>
      <c r="K175">
        <v>2170.6110000000003</v>
      </c>
      <c r="L175">
        <v>562.75100000000043</v>
      </c>
      <c r="M175">
        <v>0.25925925925925941</v>
      </c>
      <c r="N175" s="2">
        <v>45142</v>
      </c>
      <c r="O175" s="2" t="str">
        <f>TEXT(Table1[[#This Row],[OrderDate]],"dddd")</f>
        <v>Friday</v>
      </c>
      <c r="P175" s="2" t="str">
        <f>IF(AND(Table1[[#This Row],[OrderDate]]&gt;=DATE(2023,7,30),Table1[[#This Row],[OrderDate]]&lt;=DATE(2023,8,5)),"Week 1",
 IF(AND(Table1[[#This Row],[OrderDate]]&gt;=DATE(2023,8,6),Table1[[#This Row],[OrderDate]]&lt;=DATE(2023,8,12)),"Week 2",
 IF(AND(Table1[[#This Row],[OrderDate]]&gt;=DATE(2023,8,13),Table1[[#This Row],[OrderDate]]&lt;=DATE(2023,8,19)),"Week 3",
 IF(AND(Table1[[#This Row],[OrderDate]]&gt;=DATE(2023,8,20),Table1[[#This Row],[OrderDate]]&lt;=DATE(2023,8,26)),"Week 4","Week 5"))))</f>
        <v>Week 1</v>
      </c>
      <c r="Q175" s="2">
        <v>45169</v>
      </c>
      <c r="R175" s="2" t="str">
        <f>TEXT(Table1[[#This Row],[ShipDate]],"dddd")</f>
        <v>Thursday</v>
      </c>
      <c r="S175" t="s">
        <v>40</v>
      </c>
      <c r="T175">
        <v>27</v>
      </c>
      <c r="U175" t="str">
        <f>IF(Table1[[#This Row],[DateDifference]]&lt;7,"Within Target","Outside Target")</f>
        <v>Outside Target</v>
      </c>
      <c r="V175" t="s">
        <v>35</v>
      </c>
    </row>
    <row r="176" spans="1:22" x14ac:dyDescent="0.3">
      <c r="A176">
        <v>225</v>
      </c>
      <c r="B176">
        <v>5</v>
      </c>
      <c r="C176" t="s">
        <v>30</v>
      </c>
      <c r="D176" t="s">
        <v>31</v>
      </c>
      <c r="E176" s="1">
        <v>0.35</v>
      </c>
      <c r="F176">
        <v>40.729999999999997</v>
      </c>
      <c r="G176">
        <v>3054.7499999999995</v>
      </c>
      <c r="H176">
        <v>54.985500000000002</v>
      </c>
      <c r="I176">
        <f>Table1[[#This Row],[CookiesShipped]]*Table1[[#This Row],[Selling Price]]</f>
        <v>4123.9125000000004</v>
      </c>
      <c r="J176">
        <v>75</v>
      </c>
      <c r="K176">
        <v>4123.9125000000004</v>
      </c>
      <c r="L176">
        <v>1069.1625000000008</v>
      </c>
      <c r="M176">
        <v>0.25925925925925941</v>
      </c>
      <c r="N176" s="2">
        <v>45147</v>
      </c>
      <c r="O176" s="2" t="str">
        <f>TEXT(Table1[[#This Row],[OrderDate]],"dddd")</f>
        <v>Wednesday</v>
      </c>
      <c r="P176" s="2" t="str">
        <f>IF(AND(Table1[[#This Row],[OrderDate]]&gt;=DATE(2023,7,30),Table1[[#This Row],[OrderDate]]&lt;=DATE(2023,8,5)),"Week 1",
 IF(AND(Table1[[#This Row],[OrderDate]]&gt;=DATE(2023,8,6),Table1[[#This Row],[OrderDate]]&lt;=DATE(2023,8,12)),"Week 2",
 IF(AND(Table1[[#This Row],[OrderDate]]&gt;=DATE(2023,8,13),Table1[[#This Row],[OrderDate]]&lt;=DATE(2023,8,19)),"Week 3",
 IF(AND(Table1[[#This Row],[OrderDate]]&gt;=DATE(2023,8,20),Table1[[#This Row],[OrderDate]]&lt;=DATE(2023,8,26)),"Week 4","Week 5"))))</f>
        <v>Week 2</v>
      </c>
      <c r="Q176" s="2">
        <v>45161</v>
      </c>
      <c r="R176" s="2" t="str">
        <f>TEXT(Table1[[#This Row],[ShipDate]],"dddd")</f>
        <v>Wednesday</v>
      </c>
      <c r="S176" t="s">
        <v>40</v>
      </c>
      <c r="T176">
        <v>14</v>
      </c>
      <c r="U176" t="str">
        <f>IF(Table1[[#This Row],[DateDifference]]&lt;7,"Within Target","Outside Target")</f>
        <v>Outside Target</v>
      </c>
      <c r="V176" t="s">
        <v>26</v>
      </c>
    </row>
    <row r="177" spans="1:22" x14ac:dyDescent="0.3">
      <c r="A177">
        <v>227</v>
      </c>
      <c r="B177">
        <v>5</v>
      </c>
      <c r="C177" t="s">
        <v>30</v>
      </c>
      <c r="D177" t="s">
        <v>31</v>
      </c>
      <c r="E177" s="1">
        <v>0.35</v>
      </c>
      <c r="F177">
        <v>29.01</v>
      </c>
      <c r="G177">
        <v>1044.3600000000001</v>
      </c>
      <c r="H177">
        <v>39.163500000000006</v>
      </c>
      <c r="I177">
        <f>Table1[[#This Row],[CookiesShipped]]*Table1[[#This Row],[Selling Price]]</f>
        <v>1409.8860000000002</v>
      </c>
      <c r="J177">
        <v>36</v>
      </c>
      <c r="K177">
        <v>1409.8860000000002</v>
      </c>
      <c r="L177">
        <v>365.52600000000007</v>
      </c>
      <c r="M177">
        <v>0.25925925925925924</v>
      </c>
      <c r="N177" s="2">
        <v>45149</v>
      </c>
      <c r="O177" s="2" t="str">
        <f>TEXT(Table1[[#This Row],[OrderDate]],"dddd")</f>
        <v>Friday</v>
      </c>
      <c r="P177" s="2" t="str">
        <f>IF(AND(Table1[[#This Row],[OrderDate]]&gt;=DATE(2023,7,30),Table1[[#This Row],[OrderDate]]&lt;=DATE(2023,8,5)),"Week 1",
 IF(AND(Table1[[#This Row],[OrderDate]]&gt;=DATE(2023,8,6),Table1[[#This Row],[OrderDate]]&lt;=DATE(2023,8,12)),"Week 2",
 IF(AND(Table1[[#This Row],[OrderDate]]&gt;=DATE(2023,8,13),Table1[[#This Row],[OrderDate]]&lt;=DATE(2023,8,19)),"Week 3",
 IF(AND(Table1[[#This Row],[OrderDate]]&gt;=DATE(2023,8,20),Table1[[#This Row],[OrderDate]]&lt;=DATE(2023,8,26)),"Week 4","Week 5"))))</f>
        <v>Week 2</v>
      </c>
      <c r="Q177" s="2">
        <v>45158</v>
      </c>
      <c r="R177" s="2" t="str">
        <f>TEXT(Table1[[#This Row],[ShipDate]],"dddd")</f>
        <v>Sunday</v>
      </c>
      <c r="S177" t="s">
        <v>40</v>
      </c>
      <c r="T177">
        <v>9</v>
      </c>
      <c r="U177" t="str">
        <f>IF(Table1[[#This Row],[DateDifference]]&lt;7,"Within Target","Outside Target")</f>
        <v>Outside Target</v>
      </c>
      <c r="V177" t="s">
        <v>35</v>
      </c>
    </row>
    <row r="178" spans="1:22" x14ac:dyDescent="0.3">
      <c r="A178">
        <v>228</v>
      </c>
      <c r="B178">
        <v>3</v>
      </c>
      <c r="C178" t="s">
        <v>33</v>
      </c>
      <c r="D178" t="s">
        <v>34</v>
      </c>
      <c r="E178" s="1">
        <v>0.35</v>
      </c>
      <c r="F178">
        <v>45.23</v>
      </c>
      <c r="G178">
        <v>4025.47</v>
      </c>
      <c r="H178">
        <v>61.060499999999998</v>
      </c>
      <c r="I178">
        <f>Table1[[#This Row],[CookiesShipped]]*Table1[[#This Row],[Selling Price]]</f>
        <v>5434.3845000000001</v>
      </c>
      <c r="J178">
        <v>89</v>
      </c>
      <c r="K178">
        <v>5434.3845000000001</v>
      </c>
      <c r="L178">
        <v>1408.9145000000003</v>
      </c>
      <c r="M178">
        <v>0.25925925925925902</v>
      </c>
      <c r="N178" s="2">
        <v>45142</v>
      </c>
      <c r="O178" s="2" t="str">
        <f>TEXT(Table1[[#This Row],[OrderDate]],"dddd")</f>
        <v>Friday</v>
      </c>
      <c r="P178" s="2" t="str">
        <f>IF(AND(Table1[[#This Row],[OrderDate]]&gt;=DATE(2023,7,30),Table1[[#This Row],[OrderDate]]&lt;=DATE(2023,8,5)),"Week 1",
 IF(AND(Table1[[#This Row],[OrderDate]]&gt;=DATE(2023,8,6),Table1[[#This Row],[OrderDate]]&lt;=DATE(2023,8,12)),"Week 2",
 IF(AND(Table1[[#This Row],[OrderDate]]&gt;=DATE(2023,8,13),Table1[[#This Row],[OrderDate]]&lt;=DATE(2023,8,19)),"Week 3",
 IF(AND(Table1[[#This Row],[OrderDate]]&gt;=DATE(2023,8,20),Table1[[#This Row],[OrderDate]]&lt;=DATE(2023,8,26)),"Week 4","Week 5"))))</f>
        <v>Week 1</v>
      </c>
      <c r="Q178" s="2">
        <v>45164</v>
      </c>
      <c r="R178" s="2" t="str">
        <f>TEXT(Table1[[#This Row],[ShipDate]],"dddd")</f>
        <v>Saturday</v>
      </c>
      <c r="S178" t="s">
        <v>40</v>
      </c>
      <c r="T178">
        <v>22</v>
      </c>
      <c r="U178" t="str">
        <f>IF(Table1[[#This Row],[DateDifference]]&lt;7,"Within Target","Outside Target")</f>
        <v>Outside Target</v>
      </c>
      <c r="V178" t="s">
        <v>35</v>
      </c>
    </row>
    <row r="179" spans="1:22" x14ac:dyDescent="0.3">
      <c r="A179">
        <v>230</v>
      </c>
      <c r="B179">
        <v>3</v>
      </c>
      <c r="C179" t="s">
        <v>33</v>
      </c>
      <c r="D179" t="s">
        <v>34</v>
      </c>
      <c r="E179" s="1">
        <v>0.35</v>
      </c>
      <c r="F179">
        <v>11.83</v>
      </c>
      <c r="G179">
        <v>425.88</v>
      </c>
      <c r="H179">
        <v>15.970500000000001</v>
      </c>
      <c r="I179">
        <f>Table1[[#This Row],[CookiesShipped]]*Table1[[#This Row],[Selling Price]]</f>
        <v>574.9380000000001</v>
      </c>
      <c r="J179">
        <v>36</v>
      </c>
      <c r="K179">
        <v>574.9380000000001</v>
      </c>
      <c r="L179">
        <v>149.05800000000011</v>
      </c>
      <c r="M179">
        <v>0.25925925925925941</v>
      </c>
      <c r="N179" s="2">
        <v>45144</v>
      </c>
      <c r="O179" s="2" t="str">
        <f>TEXT(Table1[[#This Row],[OrderDate]],"dddd")</f>
        <v>Sunday</v>
      </c>
      <c r="P179" s="2" t="str">
        <f>IF(AND(Table1[[#This Row],[OrderDate]]&gt;=DATE(2023,7,30),Table1[[#This Row],[OrderDate]]&lt;=DATE(2023,8,5)),"Week 1",
 IF(AND(Table1[[#This Row],[OrderDate]]&gt;=DATE(2023,8,6),Table1[[#This Row],[OrderDate]]&lt;=DATE(2023,8,12)),"Week 2",
 IF(AND(Table1[[#This Row],[OrderDate]]&gt;=DATE(2023,8,13),Table1[[#This Row],[OrderDate]]&lt;=DATE(2023,8,19)),"Week 3",
 IF(AND(Table1[[#This Row],[OrderDate]]&gt;=DATE(2023,8,20),Table1[[#This Row],[OrderDate]]&lt;=DATE(2023,8,26)),"Week 4","Week 5"))))</f>
        <v>Week 2</v>
      </c>
      <c r="Q179" s="2">
        <v>45158</v>
      </c>
      <c r="R179" s="2" t="str">
        <f>TEXT(Table1[[#This Row],[ShipDate]],"dddd")</f>
        <v>Sunday</v>
      </c>
      <c r="S179" t="s">
        <v>40</v>
      </c>
      <c r="T179">
        <v>14</v>
      </c>
      <c r="U179" t="str">
        <f>IF(Table1[[#This Row],[DateDifference]]&lt;7,"Within Target","Outside Target")</f>
        <v>Outside Target</v>
      </c>
      <c r="V179" t="s">
        <v>38</v>
      </c>
    </row>
    <row r="180" spans="1:22" x14ac:dyDescent="0.3">
      <c r="A180">
        <v>233</v>
      </c>
      <c r="B180">
        <v>4</v>
      </c>
      <c r="C180" t="s">
        <v>36</v>
      </c>
      <c r="D180" t="s">
        <v>37</v>
      </c>
      <c r="E180" s="1">
        <v>0.35</v>
      </c>
      <c r="F180">
        <v>38.479999999999997</v>
      </c>
      <c r="G180">
        <v>923.52</v>
      </c>
      <c r="H180">
        <v>51.948</v>
      </c>
      <c r="I180">
        <f>Table1[[#This Row],[CookiesShipped]]*Table1[[#This Row],[Selling Price]]</f>
        <v>1246.752</v>
      </c>
      <c r="J180">
        <v>24</v>
      </c>
      <c r="K180">
        <v>1246.752</v>
      </c>
      <c r="L180">
        <v>323.23199999999997</v>
      </c>
      <c r="M180">
        <v>0.25925925925925924</v>
      </c>
      <c r="N180" s="2">
        <v>45162</v>
      </c>
      <c r="O180" s="2" t="str">
        <f>TEXT(Table1[[#This Row],[OrderDate]],"dddd")</f>
        <v>Thursday</v>
      </c>
      <c r="P180" s="2" t="str">
        <f>IF(AND(Table1[[#This Row],[OrderDate]]&gt;=DATE(2023,7,30),Table1[[#This Row],[OrderDate]]&lt;=DATE(2023,8,5)),"Week 1",
 IF(AND(Table1[[#This Row],[OrderDate]]&gt;=DATE(2023,8,6),Table1[[#This Row],[OrderDate]]&lt;=DATE(2023,8,12)),"Week 2",
 IF(AND(Table1[[#This Row],[OrderDate]]&gt;=DATE(2023,8,13),Table1[[#This Row],[OrderDate]]&lt;=DATE(2023,8,19)),"Week 3",
 IF(AND(Table1[[#This Row],[OrderDate]]&gt;=DATE(2023,8,20),Table1[[#This Row],[OrderDate]]&lt;=DATE(2023,8,26)),"Week 4","Week 5"))))</f>
        <v>Week 4</v>
      </c>
      <c r="Q180" s="2">
        <v>45163</v>
      </c>
      <c r="R180" s="2" t="str">
        <f>TEXT(Table1[[#This Row],[ShipDate]],"dddd")</f>
        <v>Friday</v>
      </c>
      <c r="S180" t="s">
        <v>40</v>
      </c>
      <c r="T180">
        <v>1</v>
      </c>
      <c r="U180" t="str">
        <f>IF(Table1[[#This Row],[DateDifference]]&lt;7,"Within Target","Outside Target")</f>
        <v>Within Target</v>
      </c>
      <c r="V180" t="s">
        <v>29</v>
      </c>
    </row>
    <row r="181" spans="1:22" x14ac:dyDescent="0.3">
      <c r="A181">
        <v>235</v>
      </c>
      <c r="B181">
        <v>5</v>
      </c>
      <c r="C181" t="s">
        <v>30</v>
      </c>
      <c r="D181" t="s">
        <v>31</v>
      </c>
      <c r="E181" s="1">
        <v>0.35</v>
      </c>
      <c r="F181">
        <v>30.65</v>
      </c>
      <c r="G181">
        <v>3034.35</v>
      </c>
      <c r="H181">
        <v>41.377499999999998</v>
      </c>
      <c r="I181">
        <f>Table1[[#This Row],[CookiesShipped]]*Table1[[#This Row],[Selling Price]]</f>
        <v>4096.3724999999995</v>
      </c>
      <c r="J181">
        <v>99</v>
      </c>
      <c r="K181">
        <v>4096.3724999999995</v>
      </c>
      <c r="L181">
        <v>1062.0224999999996</v>
      </c>
      <c r="M181">
        <v>0.25925925925925919</v>
      </c>
      <c r="N181" s="2">
        <v>45140</v>
      </c>
      <c r="O181" s="2" t="str">
        <f>TEXT(Table1[[#This Row],[OrderDate]],"dddd")</f>
        <v>Wednesday</v>
      </c>
      <c r="P181" s="2" t="str">
        <f>IF(AND(Table1[[#This Row],[OrderDate]]&gt;=DATE(2023,7,30),Table1[[#This Row],[OrderDate]]&lt;=DATE(2023,8,5)),"Week 1",
 IF(AND(Table1[[#This Row],[OrderDate]]&gt;=DATE(2023,8,6),Table1[[#This Row],[OrderDate]]&lt;=DATE(2023,8,12)),"Week 2",
 IF(AND(Table1[[#This Row],[OrderDate]]&gt;=DATE(2023,8,13),Table1[[#This Row],[OrderDate]]&lt;=DATE(2023,8,19)),"Week 3",
 IF(AND(Table1[[#This Row],[OrderDate]]&gt;=DATE(2023,8,20),Table1[[#This Row],[OrderDate]]&lt;=DATE(2023,8,26)),"Week 4","Week 5"))))</f>
        <v>Week 1</v>
      </c>
      <c r="Q181" s="2">
        <v>45160</v>
      </c>
      <c r="R181" s="2" t="str">
        <f>TEXT(Table1[[#This Row],[ShipDate]],"dddd")</f>
        <v>Tuesday</v>
      </c>
      <c r="S181" t="s">
        <v>40</v>
      </c>
      <c r="T181">
        <v>20</v>
      </c>
      <c r="U181" t="str">
        <f>IF(Table1[[#This Row],[DateDifference]]&lt;7,"Within Target","Outside Target")</f>
        <v>Outside Target</v>
      </c>
      <c r="V181" t="s">
        <v>26</v>
      </c>
    </row>
    <row r="182" spans="1:22" x14ac:dyDescent="0.3">
      <c r="A182">
        <v>236</v>
      </c>
      <c r="B182">
        <v>5</v>
      </c>
      <c r="C182" t="s">
        <v>30</v>
      </c>
      <c r="D182" t="s">
        <v>31</v>
      </c>
      <c r="E182" s="1">
        <v>0.35</v>
      </c>
      <c r="F182">
        <v>39.31</v>
      </c>
      <c r="G182">
        <v>1926.19</v>
      </c>
      <c r="H182">
        <v>53.068500000000007</v>
      </c>
      <c r="I182">
        <f>Table1[[#This Row],[CookiesShipped]]*Table1[[#This Row],[Selling Price]]</f>
        <v>2600.3565000000003</v>
      </c>
      <c r="J182">
        <v>49</v>
      </c>
      <c r="K182">
        <v>2600.3565000000003</v>
      </c>
      <c r="L182">
        <v>674.16650000000027</v>
      </c>
      <c r="M182">
        <v>0.25925925925925936</v>
      </c>
      <c r="N182" s="2">
        <v>45141</v>
      </c>
      <c r="O182" s="2" t="str">
        <f>TEXT(Table1[[#This Row],[OrderDate]],"dddd")</f>
        <v>Thursday</v>
      </c>
      <c r="P182" s="2" t="str">
        <f>IF(AND(Table1[[#This Row],[OrderDate]]&gt;=DATE(2023,7,30),Table1[[#This Row],[OrderDate]]&lt;=DATE(2023,8,5)),"Week 1",
 IF(AND(Table1[[#This Row],[OrderDate]]&gt;=DATE(2023,8,6),Table1[[#This Row],[OrderDate]]&lt;=DATE(2023,8,12)),"Week 2",
 IF(AND(Table1[[#This Row],[OrderDate]]&gt;=DATE(2023,8,13),Table1[[#This Row],[OrderDate]]&lt;=DATE(2023,8,19)),"Week 3",
 IF(AND(Table1[[#This Row],[OrderDate]]&gt;=DATE(2023,8,20),Table1[[#This Row],[OrderDate]]&lt;=DATE(2023,8,26)),"Week 4","Week 5"))))</f>
        <v>Week 1</v>
      </c>
      <c r="Q182" s="2">
        <v>45151</v>
      </c>
      <c r="R182" s="2" t="str">
        <f>TEXT(Table1[[#This Row],[ShipDate]],"dddd")</f>
        <v>Sunday</v>
      </c>
      <c r="S182" t="s">
        <v>40</v>
      </c>
      <c r="T182">
        <v>10</v>
      </c>
      <c r="U182" t="str">
        <f>IF(Table1[[#This Row],[DateDifference]]&lt;7,"Within Target","Outside Target")</f>
        <v>Outside Target</v>
      </c>
      <c r="V182" t="s">
        <v>29</v>
      </c>
    </row>
    <row r="183" spans="1:22" x14ac:dyDescent="0.3">
      <c r="A183">
        <v>241</v>
      </c>
      <c r="B183">
        <v>5</v>
      </c>
      <c r="C183" t="s">
        <v>30</v>
      </c>
      <c r="D183" t="s">
        <v>31</v>
      </c>
      <c r="E183" s="1">
        <v>0.35</v>
      </c>
      <c r="F183">
        <v>43.09</v>
      </c>
      <c r="G183">
        <v>1034.1600000000001</v>
      </c>
      <c r="H183">
        <v>58.171500000000009</v>
      </c>
      <c r="I183">
        <f>Table1[[#This Row],[CookiesShipped]]*Table1[[#This Row],[Selling Price]]</f>
        <v>1396.1160000000002</v>
      </c>
      <c r="J183">
        <v>24</v>
      </c>
      <c r="K183">
        <v>1396.1160000000002</v>
      </c>
      <c r="L183">
        <v>361.95600000000013</v>
      </c>
      <c r="M183">
        <v>0.2592592592592593</v>
      </c>
      <c r="N183" s="2">
        <v>45139</v>
      </c>
      <c r="O183" s="2" t="str">
        <f>TEXT(Table1[[#This Row],[OrderDate]],"dddd")</f>
        <v>Tuesday</v>
      </c>
      <c r="P183" s="2" t="str">
        <f>IF(AND(Table1[[#This Row],[OrderDate]]&gt;=DATE(2023,7,30),Table1[[#This Row],[OrderDate]]&lt;=DATE(2023,8,5)),"Week 1",
 IF(AND(Table1[[#This Row],[OrderDate]]&gt;=DATE(2023,8,6),Table1[[#This Row],[OrderDate]]&lt;=DATE(2023,8,12)),"Week 2",
 IF(AND(Table1[[#This Row],[OrderDate]]&gt;=DATE(2023,8,13),Table1[[#This Row],[OrderDate]]&lt;=DATE(2023,8,19)),"Week 3",
 IF(AND(Table1[[#This Row],[OrderDate]]&gt;=DATE(2023,8,20),Table1[[#This Row],[OrderDate]]&lt;=DATE(2023,8,26)),"Week 4","Week 5"))))</f>
        <v>Week 1</v>
      </c>
      <c r="Q183" s="2">
        <v>45154</v>
      </c>
      <c r="R183" s="2" t="str">
        <f>TEXT(Table1[[#This Row],[ShipDate]],"dddd")</f>
        <v>Wednesday</v>
      </c>
      <c r="S183" t="s">
        <v>41</v>
      </c>
      <c r="T183">
        <v>15</v>
      </c>
      <c r="U183" t="str">
        <f>IF(Table1[[#This Row],[DateDifference]]&lt;7,"Within Target","Outside Target")</f>
        <v>Outside Target</v>
      </c>
      <c r="V183" t="s">
        <v>32</v>
      </c>
    </row>
    <row r="184" spans="1:22" x14ac:dyDescent="0.3">
      <c r="A184">
        <v>246</v>
      </c>
      <c r="B184">
        <v>1</v>
      </c>
      <c r="C184" t="s">
        <v>22</v>
      </c>
      <c r="D184" t="s">
        <v>23</v>
      </c>
      <c r="E184" s="1">
        <v>0.35</v>
      </c>
      <c r="F184">
        <v>15.32</v>
      </c>
      <c r="G184">
        <v>183.84</v>
      </c>
      <c r="H184">
        <v>20.682000000000002</v>
      </c>
      <c r="I184">
        <f>Table1[[#This Row],[CookiesShipped]]*Table1[[#This Row],[Selling Price]]</f>
        <v>248.18400000000003</v>
      </c>
      <c r="J184">
        <v>12</v>
      </c>
      <c r="K184">
        <v>248.18400000000003</v>
      </c>
      <c r="L184">
        <v>64.344000000000023</v>
      </c>
      <c r="M184">
        <v>0.2592592592592593</v>
      </c>
      <c r="N184" s="2">
        <v>45140</v>
      </c>
      <c r="O184" s="2" t="str">
        <f>TEXT(Table1[[#This Row],[OrderDate]],"dddd")</f>
        <v>Wednesday</v>
      </c>
      <c r="P184" s="2" t="str">
        <f>IF(AND(Table1[[#This Row],[OrderDate]]&gt;=DATE(2023,7,30),Table1[[#This Row],[OrderDate]]&lt;=DATE(2023,8,5)),"Week 1",
 IF(AND(Table1[[#This Row],[OrderDate]]&gt;=DATE(2023,8,6),Table1[[#This Row],[OrderDate]]&lt;=DATE(2023,8,12)),"Week 2",
 IF(AND(Table1[[#This Row],[OrderDate]]&gt;=DATE(2023,8,13),Table1[[#This Row],[OrderDate]]&lt;=DATE(2023,8,19)),"Week 3",
 IF(AND(Table1[[#This Row],[OrderDate]]&gt;=DATE(2023,8,20),Table1[[#This Row],[OrderDate]]&lt;=DATE(2023,8,26)),"Week 4","Week 5"))))</f>
        <v>Week 1</v>
      </c>
      <c r="Q184" s="2">
        <v>45147</v>
      </c>
      <c r="R184" s="2" t="str">
        <f>TEXT(Table1[[#This Row],[ShipDate]],"dddd")</f>
        <v>Wednesday</v>
      </c>
      <c r="S184" t="s">
        <v>40</v>
      </c>
      <c r="T184">
        <v>7</v>
      </c>
      <c r="U184" t="str">
        <f>IF(Table1[[#This Row],[DateDifference]]&lt;7,"Within Target","Outside Target")</f>
        <v>Outside Target</v>
      </c>
      <c r="V184" t="s">
        <v>26</v>
      </c>
    </row>
    <row r="185" spans="1:22" x14ac:dyDescent="0.3">
      <c r="A185">
        <v>248</v>
      </c>
      <c r="B185">
        <v>5</v>
      </c>
      <c r="C185" t="s">
        <v>30</v>
      </c>
      <c r="D185" t="s">
        <v>31</v>
      </c>
      <c r="E185" s="1">
        <v>0.35</v>
      </c>
      <c r="F185">
        <v>37.4</v>
      </c>
      <c r="G185">
        <v>486.2</v>
      </c>
      <c r="H185">
        <v>50.49</v>
      </c>
      <c r="I185">
        <f>Table1[[#This Row],[CookiesShipped]]*Table1[[#This Row],[Selling Price]]</f>
        <v>656.37</v>
      </c>
      <c r="J185">
        <v>13</v>
      </c>
      <c r="K185">
        <v>656.37</v>
      </c>
      <c r="L185">
        <v>170.17000000000002</v>
      </c>
      <c r="M185">
        <v>0.2592592592592593</v>
      </c>
      <c r="N185" s="2">
        <v>45149</v>
      </c>
      <c r="O185" s="2" t="str">
        <f>TEXT(Table1[[#This Row],[OrderDate]],"dddd")</f>
        <v>Friday</v>
      </c>
      <c r="P185" s="2" t="str">
        <f>IF(AND(Table1[[#This Row],[OrderDate]]&gt;=DATE(2023,7,30),Table1[[#This Row],[OrderDate]]&lt;=DATE(2023,8,5)),"Week 1",
 IF(AND(Table1[[#This Row],[OrderDate]]&gt;=DATE(2023,8,6),Table1[[#This Row],[OrderDate]]&lt;=DATE(2023,8,12)),"Week 2",
 IF(AND(Table1[[#This Row],[OrderDate]]&gt;=DATE(2023,8,13),Table1[[#This Row],[OrderDate]]&lt;=DATE(2023,8,19)),"Week 3",
 IF(AND(Table1[[#This Row],[OrderDate]]&gt;=DATE(2023,8,20),Table1[[#This Row],[OrderDate]]&lt;=DATE(2023,8,26)),"Week 4","Week 5"))))</f>
        <v>Week 2</v>
      </c>
      <c r="Q185" s="2">
        <v>45154</v>
      </c>
      <c r="R185" s="2" t="str">
        <f>TEXT(Table1[[#This Row],[ShipDate]],"dddd")</f>
        <v>Wednesday</v>
      </c>
      <c r="S185" t="s">
        <v>40</v>
      </c>
      <c r="T185">
        <v>5</v>
      </c>
      <c r="U185" t="str">
        <f>IF(Table1[[#This Row],[DateDifference]]&lt;7,"Within Target","Outside Target")</f>
        <v>Within Target</v>
      </c>
      <c r="V185" t="s">
        <v>35</v>
      </c>
    </row>
    <row r="186" spans="1:22" x14ac:dyDescent="0.3">
      <c r="A186">
        <v>250</v>
      </c>
      <c r="B186">
        <v>1</v>
      </c>
      <c r="C186" t="s">
        <v>22</v>
      </c>
      <c r="D186" t="s">
        <v>23</v>
      </c>
      <c r="E186" s="1">
        <v>0.35</v>
      </c>
      <c r="F186">
        <v>36.229999999999997</v>
      </c>
      <c r="G186">
        <v>3224.47</v>
      </c>
      <c r="H186">
        <v>48.910499999999999</v>
      </c>
      <c r="I186">
        <f>Table1[[#This Row],[CookiesShipped]]*Table1[[#This Row],[Selling Price]]</f>
        <v>4353.0344999999998</v>
      </c>
      <c r="J186">
        <v>89</v>
      </c>
      <c r="K186">
        <v>4353.0344999999998</v>
      </c>
      <c r="L186">
        <v>1128.5645</v>
      </c>
      <c r="M186">
        <v>0.25925925925925924</v>
      </c>
      <c r="N186" s="2">
        <v>45142</v>
      </c>
      <c r="O186" s="2" t="str">
        <f>TEXT(Table1[[#This Row],[OrderDate]],"dddd")</f>
        <v>Friday</v>
      </c>
      <c r="P186" s="2" t="str">
        <f>IF(AND(Table1[[#This Row],[OrderDate]]&gt;=DATE(2023,7,30),Table1[[#This Row],[OrderDate]]&lt;=DATE(2023,8,5)),"Week 1",
 IF(AND(Table1[[#This Row],[OrderDate]]&gt;=DATE(2023,8,6),Table1[[#This Row],[OrderDate]]&lt;=DATE(2023,8,12)),"Week 2",
 IF(AND(Table1[[#This Row],[OrderDate]]&gt;=DATE(2023,8,13),Table1[[#This Row],[OrderDate]]&lt;=DATE(2023,8,19)),"Week 3",
 IF(AND(Table1[[#This Row],[OrderDate]]&gt;=DATE(2023,8,20),Table1[[#This Row],[OrderDate]]&lt;=DATE(2023,8,26)),"Week 4","Week 5"))))</f>
        <v>Week 1</v>
      </c>
      <c r="Q186" s="2">
        <v>45144</v>
      </c>
      <c r="R186" s="2" t="str">
        <f>TEXT(Table1[[#This Row],[ShipDate]],"dddd")</f>
        <v>Sunday</v>
      </c>
      <c r="S186" t="s">
        <v>41</v>
      </c>
      <c r="T186">
        <v>2</v>
      </c>
      <c r="U186" t="str">
        <f>IF(Table1[[#This Row],[DateDifference]]&lt;7,"Within Target","Outside Target")</f>
        <v>Within Target</v>
      </c>
      <c r="V186" t="s">
        <v>35</v>
      </c>
    </row>
    <row r="187" spans="1:22" x14ac:dyDescent="0.3">
      <c r="A187">
        <v>253</v>
      </c>
      <c r="B187">
        <v>1</v>
      </c>
      <c r="C187" t="s">
        <v>22</v>
      </c>
      <c r="D187" t="s">
        <v>23</v>
      </c>
      <c r="E187" s="1">
        <v>0.35</v>
      </c>
      <c r="F187">
        <v>20.56</v>
      </c>
      <c r="G187">
        <v>349.52</v>
      </c>
      <c r="H187">
        <v>27.756</v>
      </c>
      <c r="I187">
        <f>Table1[[#This Row],[CookiesShipped]]*Table1[[#This Row],[Selling Price]]</f>
        <v>471.85199999999998</v>
      </c>
      <c r="J187">
        <v>17</v>
      </c>
      <c r="K187">
        <v>471.85199999999998</v>
      </c>
      <c r="L187">
        <v>122.33199999999999</v>
      </c>
      <c r="M187">
        <v>0.25925925925925924</v>
      </c>
      <c r="N187" s="2">
        <v>45140</v>
      </c>
      <c r="O187" s="2" t="str">
        <f>TEXT(Table1[[#This Row],[OrderDate]],"dddd")</f>
        <v>Wednesday</v>
      </c>
      <c r="P187" s="2" t="str">
        <f>IF(AND(Table1[[#This Row],[OrderDate]]&gt;=DATE(2023,7,30),Table1[[#This Row],[OrderDate]]&lt;=DATE(2023,8,5)),"Week 1",
 IF(AND(Table1[[#This Row],[OrderDate]]&gt;=DATE(2023,8,6),Table1[[#This Row],[OrderDate]]&lt;=DATE(2023,8,12)),"Week 2",
 IF(AND(Table1[[#This Row],[OrderDate]]&gt;=DATE(2023,8,13),Table1[[#This Row],[OrderDate]]&lt;=DATE(2023,8,19)),"Week 3",
 IF(AND(Table1[[#This Row],[OrderDate]]&gt;=DATE(2023,8,20),Table1[[#This Row],[OrderDate]]&lt;=DATE(2023,8,26)),"Week 4","Week 5"))))</f>
        <v>Week 1</v>
      </c>
      <c r="Q187" s="2">
        <v>45151</v>
      </c>
      <c r="R187" s="2" t="str">
        <f>TEXT(Table1[[#This Row],[ShipDate]],"dddd")</f>
        <v>Sunday</v>
      </c>
      <c r="S187" t="s">
        <v>41</v>
      </c>
      <c r="T187">
        <v>11</v>
      </c>
      <c r="U187" t="str">
        <f>IF(Table1[[#This Row],[DateDifference]]&lt;7,"Within Target","Outside Target")</f>
        <v>Outside Target</v>
      </c>
      <c r="V187" t="s">
        <v>26</v>
      </c>
    </row>
    <row r="188" spans="1:22" x14ac:dyDescent="0.3">
      <c r="A188">
        <v>255</v>
      </c>
      <c r="B188">
        <v>2</v>
      </c>
      <c r="C188" t="s">
        <v>27</v>
      </c>
      <c r="D188" t="s">
        <v>28</v>
      </c>
      <c r="E188" s="1">
        <v>0.35</v>
      </c>
      <c r="F188">
        <v>45.88</v>
      </c>
      <c r="G188">
        <v>3853.92</v>
      </c>
      <c r="H188">
        <v>61.938000000000009</v>
      </c>
      <c r="I188">
        <f>Table1[[#This Row],[CookiesShipped]]*Table1[[#This Row],[Selling Price]]</f>
        <v>5202.7920000000004</v>
      </c>
      <c r="J188">
        <v>84</v>
      </c>
      <c r="K188">
        <v>5202.7920000000004</v>
      </c>
      <c r="L188">
        <v>1348.8720000000003</v>
      </c>
      <c r="M188">
        <v>0.2592592592592593</v>
      </c>
      <c r="N188" s="2">
        <v>45152</v>
      </c>
      <c r="O188" s="2" t="str">
        <f>TEXT(Table1[[#This Row],[OrderDate]],"dddd")</f>
        <v>Monday</v>
      </c>
      <c r="P188" s="2" t="str">
        <f>IF(AND(Table1[[#This Row],[OrderDate]]&gt;=DATE(2023,7,30),Table1[[#This Row],[OrderDate]]&lt;=DATE(2023,8,5)),"Week 1",
 IF(AND(Table1[[#This Row],[OrderDate]]&gt;=DATE(2023,8,6),Table1[[#This Row],[OrderDate]]&lt;=DATE(2023,8,12)),"Week 2",
 IF(AND(Table1[[#This Row],[OrderDate]]&gt;=DATE(2023,8,13),Table1[[#This Row],[OrderDate]]&lt;=DATE(2023,8,19)),"Week 3",
 IF(AND(Table1[[#This Row],[OrderDate]]&gt;=DATE(2023,8,20),Table1[[#This Row],[OrderDate]]&lt;=DATE(2023,8,26)),"Week 4","Week 5"))))</f>
        <v>Week 3</v>
      </c>
      <c r="Q188" s="2">
        <v>45158</v>
      </c>
      <c r="R188" s="2" t="str">
        <f>TEXT(Table1[[#This Row],[ShipDate]],"dddd")</f>
        <v>Sunday</v>
      </c>
      <c r="S188" t="s">
        <v>41</v>
      </c>
      <c r="T188">
        <v>6</v>
      </c>
      <c r="U188" t="str">
        <f>IF(Table1[[#This Row],[DateDifference]]&lt;7,"Within Target","Outside Target")</f>
        <v>Within Target</v>
      </c>
      <c r="V188" t="s">
        <v>39</v>
      </c>
    </row>
    <row r="189" spans="1:22" x14ac:dyDescent="0.3">
      <c r="A189">
        <v>259</v>
      </c>
      <c r="B189">
        <v>3</v>
      </c>
      <c r="C189" t="s">
        <v>33</v>
      </c>
      <c r="D189" t="s">
        <v>34</v>
      </c>
      <c r="E189" s="1">
        <v>0.35</v>
      </c>
      <c r="F189">
        <v>47.63</v>
      </c>
      <c r="G189">
        <v>2810.17</v>
      </c>
      <c r="H189">
        <v>64.300500000000014</v>
      </c>
      <c r="I189">
        <f>Table1[[#This Row],[CookiesShipped]]*Table1[[#This Row],[Selling Price]]</f>
        <v>3793.7295000000008</v>
      </c>
      <c r="J189">
        <v>59</v>
      </c>
      <c r="K189">
        <v>3793.7295000000008</v>
      </c>
      <c r="L189">
        <v>983.55950000000075</v>
      </c>
      <c r="M189">
        <v>0.25925925925925941</v>
      </c>
      <c r="N189" s="2">
        <v>45141</v>
      </c>
      <c r="O189" s="2" t="str">
        <f>TEXT(Table1[[#This Row],[OrderDate]],"dddd")</f>
        <v>Thursday</v>
      </c>
      <c r="P189" s="2" t="str">
        <f>IF(AND(Table1[[#This Row],[OrderDate]]&gt;=DATE(2023,7,30),Table1[[#This Row],[OrderDate]]&lt;=DATE(2023,8,5)),"Week 1",
 IF(AND(Table1[[#This Row],[OrderDate]]&gt;=DATE(2023,8,6),Table1[[#This Row],[OrderDate]]&lt;=DATE(2023,8,12)),"Week 2",
 IF(AND(Table1[[#This Row],[OrderDate]]&gt;=DATE(2023,8,13),Table1[[#This Row],[OrderDate]]&lt;=DATE(2023,8,19)),"Week 3",
 IF(AND(Table1[[#This Row],[OrderDate]]&gt;=DATE(2023,8,20),Table1[[#This Row],[OrderDate]]&lt;=DATE(2023,8,26)),"Week 4","Week 5"))))</f>
        <v>Week 1</v>
      </c>
      <c r="Q189" s="2">
        <v>45145</v>
      </c>
      <c r="R189" s="2" t="str">
        <f>TEXT(Table1[[#This Row],[ShipDate]],"dddd")</f>
        <v>Monday</v>
      </c>
      <c r="S189" t="s">
        <v>40</v>
      </c>
      <c r="T189">
        <v>4</v>
      </c>
      <c r="U189" t="str">
        <f>IF(Table1[[#This Row],[DateDifference]]&lt;7,"Within Target","Outside Target")</f>
        <v>Within Target</v>
      </c>
      <c r="V189" t="s">
        <v>29</v>
      </c>
    </row>
    <row r="190" spans="1:22" x14ac:dyDescent="0.3">
      <c r="A190">
        <v>265</v>
      </c>
      <c r="B190">
        <v>1</v>
      </c>
      <c r="C190" t="s">
        <v>22</v>
      </c>
      <c r="D190" t="s">
        <v>23</v>
      </c>
      <c r="E190" s="1">
        <v>0.35</v>
      </c>
      <c r="F190">
        <v>44.25</v>
      </c>
      <c r="G190">
        <v>840.75</v>
      </c>
      <c r="H190">
        <v>59.737500000000004</v>
      </c>
      <c r="I190">
        <f>Table1[[#This Row],[CookiesShipped]]*Table1[[#This Row],[Selling Price]]</f>
        <v>1135.0125</v>
      </c>
      <c r="J190">
        <v>19</v>
      </c>
      <c r="K190">
        <v>1135.0125</v>
      </c>
      <c r="L190">
        <v>294.26250000000005</v>
      </c>
      <c r="M190">
        <v>0.2592592592592593</v>
      </c>
      <c r="N190" s="2">
        <v>45145</v>
      </c>
      <c r="O190" s="2" t="str">
        <f>TEXT(Table1[[#This Row],[OrderDate]],"dddd")</f>
        <v>Monday</v>
      </c>
      <c r="P190" s="2" t="str">
        <f>IF(AND(Table1[[#This Row],[OrderDate]]&gt;=DATE(2023,7,30),Table1[[#This Row],[OrderDate]]&lt;=DATE(2023,8,5)),"Week 1",
 IF(AND(Table1[[#This Row],[OrderDate]]&gt;=DATE(2023,8,6),Table1[[#This Row],[OrderDate]]&lt;=DATE(2023,8,12)),"Week 2",
 IF(AND(Table1[[#This Row],[OrderDate]]&gt;=DATE(2023,8,13),Table1[[#This Row],[OrderDate]]&lt;=DATE(2023,8,19)),"Week 3",
 IF(AND(Table1[[#This Row],[OrderDate]]&gt;=DATE(2023,8,20),Table1[[#This Row],[OrderDate]]&lt;=DATE(2023,8,26)),"Week 4","Week 5"))))</f>
        <v>Week 2</v>
      </c>
      <c r="Q190" s="2">
        <v>45150</v>
      </c>
      <c r="R190" s="2" t="str">
        <f>TEXT(Table1[[#This Row],[ShipDate]],"dddd")</f>
        <v>Saturday</v>
      </c>
      <c r="S190" t="s">
        <v>40</v>
      </c>
      <c r="T190">
        <v>5</v>
      </c>
      <c r="U190" t="str">
        <f>IF(Table1[[#This Row],[DateDifference]]&lt;7,"Within Target","Outside Target")</f>
        <v>Within Target</v>
      </c>
      <c r="V190" t="s">
        <v>39</v>
      </c>
    </row>
    <row r="191" spans="1:22" x14ac:dyDescent="0.3">
      <c r="A191">
        <v>266</v>
      </c>
      <c r="B191">
        <v>3</v>
      </c>
      <c r="C191" t="s">
        <v>33</v>
      </c>
      <c r="D191" t="s">
        <v>34</v>
      </c>
      <c r="E191" s="1">
        <v>0.35</v>
      </c>
      <c r="F191">
        <v>46.95</v>
      </c>
      <c r="G191">
        <v>3568.2000000000003</v>
      </c>
      <c r="H191">
        <v>63.382500000000007</v>
      </c>
      <c r="I191">
        <f>Table1[[#This Row],[CookiesShipped]]*Table1[[#This Row],[Selling Price]]</f>
        <v>4817.0700000000006</v>
      </c>
      <c r="J191">
        <v>76</v>
      </c>
      <c r="K191">
        <v>4817.0700000000006</v>
      </c>
      <c r="L191">
        <v>1248.8700000000003</v>
      </c>
      <c r="M191">
        <v>0.2592592592592593</v>
      </c>
      <c r="N191" s="2">
        <v>45153</v>
      </c>
      <c r="O191" s="2" t="str">
        <f>TEXT(Table1[[#This Row],[OrderDate]],"dddd")</f>
        <v>Tuesday</v>
      </c>
      <c r="P191" s="2" t="str">
        <f>IF(AND(Table1[[#This Row],[OrderDate]]&gt;=DATE(2023,7,30),Table1[[#This Row],[OrderDate]]&lt;=DATE(2023,8,5)),"Week 1",
 IF(AND(Table1[[#This Row],[OrderDate]]&gt;=DATE(2023,8,6),Table1[[#This Row],[OrderDate]]&lt;=DATE(2023,8,12)),"Week 2",
 IF(AND(Table1[[#This Row],[OrderDate]]&gt;=DATE(2023,8,13),Table1[[#This Row],[OrderDate]]&lt;=DATE(2023,8,19)),"Week 3",
 IF(AND(Table1[[#This Row],[OrderDate]]&gt;=DATE(2023,8,20),Table1[[#This Row],[OrderDate]]&lt;=DATE(2023,8,26)),"Week 4","Week 5"))))</f>
        <v>Week 3</v>
      </c>
      <c r="Q191" s="2">
        <v>45161</v>
      </c>
      <c r="R191" s="2" t="str">
        <f>TEXT(Table1[[#This Row],[ShipDate]],"dddd")</f>
        <v>Wednesday</v>
      </c>
      <c r="S191" t="s">
        <v>41</v>
      </c>
      <c r="T191">
        <v>8</v>
      </c>
      <c r="U191" t="str">
        <f>IF(Table1[[#This Row],[DateDifference]]&lt;7,"Within Target","Outside Target")</f>
        <v>Outside Target</v>
      </c>
      <c r="V191" t="s">
        <v>32</v>
      </c>
    </row>
    <row r="192" spans="1:22" x14ac:dyDescent="0.3">
      <c r="A192">
        <v>267</v>
      </c>
      <c r="B192">
        <v>5</v>
      </c>
      <c r="C192" t="s">
        <v>30</v>
      </c>
      <c r="D192" t="s">
        <v>31</v>
      </c>
      <c r="E192" s="1">
        <v>0.35</v>
      </c>
      <c r="F192">
        <v>30.43</v>
      </c>
      <c r="G192">
        <v>273.87</v>
      </c>
      <c r="H192">
        <v>41.080500000000001</v>
      </c>
      <c r="I192">
        <f>Table1[[#This Row],[CookiesShipped]]*Table1[[#This Row],[Selling Price]]</f>
        <v>369.72450000000003</v>
      </c>
      <c r="J192">
        <v>9</v>
      </c>
      <c r="K192">
        <v>369.72450000000003</v>
      </c>
      <c r="L192">
        <v>95.85450000000003</v>
      </c>
      <c r="M192">
        <v>0.2592592592592593</v>
      </c>
      <c r="N192" s="2">
        <v>45143</v>
      </c>
      <c r="O192" s="2" t="str">
        <f>TEXT(Table1[[#This Row],[OrderDate]],"dddd")</f>
        <v>Saturday</v>
      </c>
      <c r="P192" s="2" t="str">
        <f>IF(AND(Table1[[#This Row],[OrderDate]]&gt;=DATE(2023,7,30),Table1[[#This Row],[OrderDate]]&lt;=DATE(2023,8,5)),"Week 1",
 IF(AND(Table1[[#This Row],[OrderDate]]&gt;=DATE(2023,8,6),Table1[[#This Row],[OrderDate]]&lt;=DATE(2023,8,12)),"Week 2",
 IF(AND(Table1[[#This Row],[OrderDate]]&gt;=DATE(2023,8,13),Table1[[#This Row],[OrderDate]]&lt;=DATE(2023,8,19)),"Week 3",
 IF(AND(Table1[[#This Row],[OrderDate]]&gt;=DATE(2023,8,20),Table1[[#This Row],[OrderDate]]&lt;=DATE(2023,8,26)),"Week 4","Week 5"))))</f>
        <v>Week 1</v>
      </c>
      <c r="Q192" s="2">
        <v>45144</v>
      </c>
      <c r="R192" s="2" t="str">
        <f>TEXT(Table1[[#This Row],[ShipDate]],"dddd")</f>
        <v>Sunday</v>
      </c>
      <c r="S192" t="s">
        <v>41</v>
      </c>
      <c r="T192">
        <v>1</v>
      </c>
      <c r="U192" t="str">
        <f>IF(Table1[[#This Row],[DateDifference]]&lt;7,"Within Target","Outside Target")</f>
        <v>Within Target</v>
      </c>
      <c r="V192" t="s">
        <v>25</v>
      </c>
    </row>
    <row r="193" spans="1:22" x14ac:dyDescent="0.3">
      <c r="A193">
        <v>268</v>
      </c>
      <c r="B193">
        <v>2</v>
      </c>
      <c r="C193" t="s">
        <v>27</v>
      </c>
      <c r="D193" t="s">
        <v>28</v>
      </c>
      <c r="E193" s="1">
        <v>0.35</v>
      </c>
      <c r="F193">
        <v>36.35</v>
      </c>
      <c r="G193">
        <v>2580.85</v>
      </c>
      <c r="H193">
        <v>49.072500000000005</v>
      </c>
      <c r="I193">
        <f>Table1[[#This Row],[CookiesShipped]]*Table1[[#This Row],[Selling Price]]</f>
        <v>3484.1475000000005</v>
      </c>
      <c r="J193">
        <v>71</v>
      </c>
      <c r="K193">
        <v>3484.1475000000005</v>
      </c>
      <c r="L193">
        <v>903.29750000000058</v>
      </c>
      <c r="M193">
        <v>0.25925925925925941</v>
      </c>
      <c r="N193" s="2">
        <v>45143</v>
      </c>
      <c r="O193" s="2" t="str">
        <f>TEXT(Table1[[#This Row],[OrderDate]],"dddd")</f>
        <v>Saturday</v>
      </c>
      <c r="P193" s="2" t="str">
        <f>IF(AND(Table1[[#This Row],[OrderDate]]&gt;=DATE(2023,7,30),Table1[[#This Row],[OrderDate]]&lt;=DATE(2023,8,5)),"Week 1",
 IF(AND(Table1[[#This Row],[OrderDate]]&gt;=DATE(2023,8,6),Table1[[#This Row],[OrderDate]]&lt;=DATE(2023,8,12)),"Week 2",
 IF(AND(Table1[[#This Row],[OrderDate]]&gt;=DATE(2023,8,13),Table1[[#This Row],[OrderDate]]&lt;=DATE(2023,8,19)),"Week 3",
 IF(AND(Table1[[#This Row],[OrderDate]]&gt;=DATE(2023,8,20),Table1[[#This Row],[OrderDate]]&lt;=DATE(2023,8,26)),"Week 4","Week 5"))))</f>
        <v>Week 1</v>
      </c>
      <c r="Q193" s="2">
        <v>45144</v>
      </c>
      <c r="R193" s="2" t="str">
        <f>TEXT(Table1[[#This Row],[ShipDate]],"dddd")</f>
        <v>Sunday</v>
      </c>
      <c r="S193" t="s">
        <v>40</v>
      </c>
      <c r="T193">
        <v>1</v>
      </c>
      <c r="U193" t="str">
        <f>IF(Table1[[#This Row],[DateDifference]]&lt;7,"Within Target","Outside Target")</f>
        <v>Within Target</v>
      </c>
      <c r="V193" t="s">
        <v>25</v>
      </c>
    </row>
    <row r="194" spans="1:22" x14ac:dyDescent="0.3">
      <c r="A194">
        <v>270</v>
      </c>
      <c r="B194">
        <v>3</v>
      </c>
      <c r="C194" t="s">
        <v>33</v>
      </c>
      <c r="D194" t="s">
        <v>34</v>
      </c>
      <c r="E194" s="1">
        <v>0.35</v>
      </c>
      <c r="F194">
        <v>36.83</v>
      </c>
      <c r="G194">
        <v>2872.74</v>
      </c>
      <c r="H194">
        <v>49.720500000000001</v>
      </c>
      <c r="I194">
        <f>Table1[[#This Row],[CookiesShipped]]*Table1[[#This Row],[Selling Price]]</f>
        <v>3878.1990000000001</v>
      </c>
      <c r="J194">
        <v>78</v>
      </c>
      <c r="K194">
        <v>3878.1990000000001</v>
      </c>
      <c r="L194">
        <v>1005.4590000000003</v>
      </c>
      <c r="M194">
        <v>0.25925925925925936</v>
      </c>
      <c r="N194" s="2">
        <v>45144</v>
      </c>
      <c r="O194" s="2" t="str">
        <f>TEXT(Table1[[#This Row],[OrderDate]],"dddd")</f>
        <v>Sunday</v>
      </c>
      <c r="P194" s="2" t="str">
        <f>IF(AND(Table1[[#This Row],[OrderDate]]&gt;=DATE(2023,7,30),Table1[[#This Row],[OrderDate]]&lt;=DATE(2023,8,5)),"Week 1",
 IF(AND(Table1[[#This Row],[OrderDate]]&gt;=DATE(2023,8,6),Table1[[#This Row],[OrderDate]]&lt;=DATE(2023,8,12)),"Week 2",
 IF(AND(Table1[[#This Row],[OrderDate]]&gt;=DATE(2023,8,13),Table1[[#This Row],[OrderDate]]&lt;=DATE(2023,8,19)),"Week 3",
 IF(AND(Table1[[#This Row],[OrderDate]]&gt;=DATE(2023,8,20),Table1[[#This Row],[OrderDate]]&lt;=DATE(2023,8,26)),"Week 4","Week 5"))))</f>
        <v>Week 2</v>
      </c>
      <c r="Q194" s="2">
        <v>45156</v>
      </c>
      <c r="R194" s="2" t="str">
        <f>TEXT(Table1[[#This Row],[ShipDate]],"dddd")</f>
        <v>Friday</v>
      </c>
      <c r="S194" t="s">
        <v>40</v>
      </c>
      <c r="T194">
        <v>12</v>
      </c>
      <c r="U194" t="str">
        <f>IF(Table1[[#This Row],[DateDifference]]&lt;7,"Within Target","Outside Target")</f>
        <v>Outside Target</v>
      </c>
      <c r="V194" t="s">
        <v>38</v>
      </c>
    </row>
    <row r="195" spans="1:22" x14ac:dyDescent="0.3">
      <c r="A195">
        <v>275</v>
      </c>
      <c r="B195">
        <v>2</v>
      </c>
      <c r="C195" t="s">
        <v>27</v>
      </c>
      <c r="D195" t="s">
        <v>28</v>
      </c>
      <c r="E195" s="1">
        <v>0.35</v>
      </c>
      <c r="F195">
        <v>38.14</v>
      </c>
      <c r="G195">
        <v>2631.66</v>
      </c>
      <c r="H195">
        <v>51.489000000000004</v>
      </c>
      <c r="I195">
        <f>Table1[[#This Row],[CookiesShipped]]*Table1[[#This Row],[Selling Price]]</f>
        <v>3552.7410000000004</v>
      </c>
      <c r="J195">
        <v>69</v>
      </c>
      <c r="K195">
        <v>3552.7410000000004</v>
      </c>
      <c r="L195">
        <v>921.08100000000059</v>
      </c>
      <c r="M195">
        <v>0.25925925925925941</v>
      </c>
      <c r="N195" s="2">
        <v>45159</v>
      </c>
      <c r="O195" s="2" t="str">
        <f>TEXT(Table1[[#This Row],[OrderDate]],"dddd")</f>
        <v>Monday</v>
      </c>
      <c r="P195" s="2" t="str">
        <f>IF(AND(Table1[[#This Row],[OrderDate]]&gt;=DATE(2023,7,30),Table1[[#This Row],[OrderDate]]&lt;=DATE(2023,8,5)),"Week 1",
 IF(AND(Table1[[#This Row],[OrderDate]]&gt;=DATE(2023,8,6),Table1[[#This Row],[OrderDate]]&lt;=DATE(2023,8,12)),"Week 2",
 IF(AND(Table1[[#This Row],[OrderDate]]&gt;=DATE(2023,8,13),Table1[[#This Row],[OrderDate]]&lt;=DATE(2023,8,19)),"Week 3",
 IF(AND(Table1[[#This Row],[OrderDate]]&gt;=DATE(2023,8,20),Table1[[#This Row],[OrderDate]]&lt;=DATE(2023,8,26)),"Week 4","Week 5"))))</f>
        <v>Week 4</v>
      </c>
      <c r="Q195" s="2">
        <v>45165</v>
      </c>
      <c r="R195" s="2" t="str">
        <f>TEXT(Table1[[#This Row],[ShipDate]],"dddd")</f>
        <v>Sunday</v>
      </c>
      <c r="S195" t="s">
        <v>40</v>
      </c>
      <c r="T195">
        <v>6</v>
      </c>
      <c r="U195" t="str">
        <f>IF(Table1[[#This Row],[DateDifference]]&lt;7,"Within Target","Outside Target")</f>
        <v>Within Target</v>
      </c>
      <c r="V195" t="s">
        <v>39</v>
      </c>
    </row>
    <row r="196" spans="1:22" x14ac:dyDescent="0.3">
      <c r="A196">
        <v>279</v>
      </c>
      <c r="B196">
        <v>4</v>
      </c>
      <c r="C196" t="s">
        <v>36</v>
      </c>
      <c r="D196" t="s">
        <v>37</v>
      </c>
      <c r="E196" s="1">
        <v>0.35</v>
      </c>
      <c r="F196">
        <v>10.1</v>
      </c>
      <c r="G196">
        <v>525.19999999999993</v>
      </c>
      <c r="H196">
        <v>13.635</v>
      </c>
      <c r="I196">
        <f>Table1[[#This Row],[CookiesShipped]]*Table1[[#This Row],[Selling Price]]</f>
        <v>709.02</v>
      </c>
      <c r="J196">
        <v>52</v>
      </c>
      <c r="K196">
        <v>709.02</v>
      </c>
      <c r="L196">
        <v>183.82000000000005</v>
      </c>
      <c r="M196">
        <v>0.25925925925925936</v>
      </c>
      <c r="N196" s="2">
        <v>45157</v>
      </c>
      <c r="O196" s="2" t="str">
        <f>TEXT(Table1[[#This Row],[OrderDate]],"dddd")</f>
        <v>Saturday</v>
      </c>
      <c r="P196" s="2" t="str">
        <f>IF(AND(Table1[[#This Row],[OrderDate]]&gt;=DATE(2023,7,30),Table1[[#This Row],[OrderDate]]&lt;=DATE(2023,8,5)),"Week 1",
 IF(AND(Table1[[#This Row],[OrderDate]]&gt;=DATE(2023,8,6),Table1[[#This Row],[OrderDate]]&lt;=DATE(2023,8,12)),"Week 2",
 IF(AND(Table1[[#This Row],[OrderDate]]&gt;=DATE(2023,8,13),Table1[[#This Row],[OrderDate]]&lt;=DATE(2023,8,19)),"Week 3",
 IF(AND(Table1[[#This Row],[OrderDate]]&gt;=DATE(2023,8,20),Table1[[#This Row],[OrderDate]]&lt;=DATE(2023,8,26)),"Week 4","Week 5"))))</f>
        <v>Week 3</v>
      </c>
      <c r="Q196" s="2">
        <v>45160</v>
      </c>
      <c r="R196" s="2" t="str">
        <f>TEXT(Table1[[#This Row],[ShipDate]],"dddd")</f>
        <v>Tuesday</v>
      </c>
      <c r="S196" t="s">
        <v>41</v>
      </c>
      <c r="T196">
        <v>3</v>
      </c>
      <c r="U196" t="str">
        <f>IF(Table1[[#This Row],[DateDifference]]&lt;7,"Within Target","Outside Target")</f>
        <v>Within Target</v>
      </c>
      <c r="V196" t="s">
        <v>25</v>
      </c>
    </row>
    <row r="197" spans="1:22" x14ac:dyDescent="0.3">
      <c r="A197">
        <v>283</v>
      </c>
      <c r="B197">
        <v>4</v>
      </c>
      <c r="C197" t="s">
        <v>36</v>
      </c>
      <c r="D197" t="s">
        <v>37</v>
      </c>
      <c r="E197" s="1">
        <v>0.35</v>
      </c>
      <c r="F197">
        <v>46.44</v>
      </c>
      <c r="G197">
        <v>1068.1199999999999</v>
      </c>
      <c r="H197">
        <v>62.694000000000003</v>
      </c>
      <c r="I197">
        <f>Table1[[#This Row],[CookiesShipped]]*Table1[[#This Row],[Selling Price]]</f>
        <v>1441.962</v>
      </c>
      <c r="J197">
        <v>23</v>
      </c>
      <c r="K197">
        <v>1441.962</v>
      </c>
      <c r="L197">
        <v>373.8420000000001</v>
      </c>
      <c r="M197">
        <v>0.25925925925925936</v>
      </c>
      <c r="N197" s="2">
        <v>45161</v>
      </c>
      <c r="O197" s="2" t="str">
        <f>TEXT(Table1[[#This Row],[OrderDate]],"dddd")</f>
        <v>Wednesday</v>
      </c>
      <c r="P197" s="2" t="str">
        <f>IF(AND(Table1[[#This Row],[OrderDate]]&gt;=DATE(2023,7,30),Table1[[#This Row],[OrderDate]]&lt;=DATE(2023,8,5)),"Week 1",
 IF(AND(Table1[[#This Row],[OrderDate]]&gt;=DATE(2023,8,6),Table1[[#This Row],[OrderDate]]&lt;=DATE(2023,8,12)),"Week 2",
 IF(AND(Table1[[#This Row],[OrderDate]]&gt;=DATE(2023,8,13),Table1[[#This Row],[OrderDate]]&lt;=DATE(2023,8,19)),"Week 3",
 IF(AND(Table1[[#This Row],[OrderDate]]&gt;=DATE(2023,8,20),Table1[[#This Row],[OrderDate]]&lt;=DATE(2023,8,26)),"Week 4","Week 5"))))</f>
        <v>Week 4</v>
      </c>
      <c r="Q197" s="2">
        <v>45162</v>
      </c>
      <c r="R197" s="2" t="str">
        <f>TEXT(Table1[[#This Row],[ShipDate]],"dddd")</f>
        <v>Thursday</v>
      </c>
      <c r="S197" t="s">
        <v>40</v>
      </c>
      <c r="T197">
        <v>1</v>
      </c>
      <c r="U197" t="str">
        <f>IF(Table1[[#This Row],[DateDifference]]&lt;7,"Within Target","Outside Target")</f>
        <v>Within Target</v>
      </c>
      <c r="V197" t="s">
        <v>26</v>
      </c>
    </row>
    <row r="198" spans="1:22" x14ac:dyDescent="0.3">
      <c r="A198">
        <v>290</v>
      </c>
      <c r="B198">
        <v>2</v>
      </c>
      <c r="C198" t="s">
        <v>27</v>
      </c>
      <c r="D198" t="s">
        <v>28</v>
      </c>
      <c r="E198" s="1">
        <v>0.35</v>
      </c>
      <c r="F198">
        <v>41.13</v>
      </c>
      <c r="G198">
        <v>1604.0700000000002</v>
      </c>
      <c r="H198">
        <v>55.525500000000008</v>
      </c>
      <c r="I198">
        <f>Table1[[#This Row],[CookiesShipped]]*Table1[[#This Row],[Selling Price]]</f>
        <v>2165.4945000000002</v>
      </c>
      <c r="J198">
        <v>39</v>
      </c>
      <c r="K198">
        <v>2165.4945000000002</v>
      </c>
      <c r="L198">
        <v>561.42450000000008</v>
      </c>
      <c r="M198">
        <v>0.25925925925925924</v>
      </c>
      <c r="N198" s="2">
        <v>45154</v>
      </c>
      <c r="O198" s="2" t="str">
        <f>TEXT(Table1[[#This Row],[OrderDate]],"dddd")</f>
        <v>Wednesday</v>
      </c>
      <c r="P198" s="2" t="str">
        <f>IF(AND(Table1[[#This Row],[OrderDate]]&gt;=DATE(2023,7,30),Table1[[#This Row],[OrderDate]]&lt;=DATE(2023,8,5)),"Week 1",
 IF(AND(Table1[[#This Row],[OrderDate]]&gt;=DATE(2023,8,6),Table1[[#This Row],[OrderDate]]&lt;=DATE(2023,8,12)),"Week 2",
 IF(AND(Table1[[#This Row],[OrderDate]]&gt;=DATE(2023,8,13),Table1[[#This Row],[OrderDate]]&lt;=DATE(2023,8,19)),"Week 3",
 IF(AND(Table1[[#This Row],[OrderDate]]&gt;=DATE(2023,8,20),Table1[[#This Row],[OrderDate]]&lt;=DATE(2023,8,26)),"Week 4","Week 5"))))</f>
        <v>Week 3</v>
      </c>
      <c r="Q198" s="2">
        <v>45159</v>
      </c>
      <c r="R198" s="2" t="str">
        <f>TEXT(Table1[[#This Row],[ShipDate]],"dddd")</f>
        <v>Monday</v>
      </c>
      <c r="S198" t="s">
        <v>41</v>
      </c>
      <c r="T198">
        <v>5</v>
      </c>
      <c r="U198" t="str">
        <f>IF(Table1[[#This Row],[DateDifference]]&lt;7,"Within Target","Outside Target")</f>
        <v>Within Target</v>
      </c>
      <c r="V198" t="s">
        <v>26</v>
      </c>
    </row>
    <row r="199" spans="1:22" x14ac:dyDescent="0.3">
      <c r="A199">
        <v>293</v>
      </c>
      <c r="B199">
        <v>4</v>
      </c>
      <c r="C199" t="s">
        <v>36</v>
      </c>
      <c r="D199" t="s">
        <v>37</v>
      </c>
      <c r="E199" s="1">
        <v>0.35</v>
      </c>
      <c r="F199">
        <v>22.92</v>
      </c>
      <c r="G199">
        <v>114.60000000000001</v>
      </c>
      <c r="H199">
        <v>30.942000000000004</v>
      </c>
      <c r="I199">
        <f>Table1[[#This Row],[CookiesShipped]]*Table1[[#This Row],[Selling Price]]</f>
        <v>154.71</v>
      </c>
      <c r="J199">
        <v>5</v>
      </c>
      <c r="K199">
        <v>154.71</v>
      </c>
      <c r="L199">
        <v>40.11</v>
      </c>
      <c r="M199">
        <v>0.25925925925925924</v>
      </c>
      <c r="N199" s="2">
        <v>45152</v>
      </c>
      <c r="O199" s="2" t="str">
        <f>TEXT(Table1[[#This Row],[OrderDate]],"dddd")</f>
        <v>Monday</v>
      </c>
      <c r="P199" s="2" t="str">
        <f>IF(AND(Table1[[#This Row],[OrderDate]]&gt;=DATE(2023,7,30),Table1[[#This Row],[OrderDate]]&lt;=DATE(2023,8,5)),"Week 1",
 IF(AND(Table1[[#This Row],[OrderDate]]&gt;=DATE(2023,8,6),Table1[[#This Row],[OrderDate]]&lt;=DATE(2023,8,12)),"Week 2",
 IF(AND(Table1[[#This Row],[OrderDate]]&gt;=DATE(2023,8,13),Table1[[#This Row],[OrderDate]]&lt;=DATE(2023,8,19)),"Week 3",
 IF(AND(Table1[[#This Row],[OrderDate]]&gt;=DATE(2023,8,20),Table1[[#This Row],[OrderDate]]&lt;=DATE(2023,8,26)),"Week 4","Week 5"))))</f>
        <v>Week 3</v>
      </c>
      <c r="Q199" s="2">
        <v>45156</v>
      </c>
      <c r="R199" s="2" t="str">
        <f>TEXT(Table1[[#This Row],[ShipDate]],"dddd")</f>
        <v>Friday</v>
      </c>
      <c r="S199" t="s">
        <v>41</v>
      </c>
      <c r="T199">
        <v>4</v>
      </c>
      <c r="U199" t="str">
        <f>IF(Table1[[#This Row],[DateDifference]]&lt;7,"Within Target","Outside Target")</f>
        <v>Within Target</v>
      </c>
      <c r="V199" t="s">
        <v>39</v>
      </c>
    </row>
    <row r="200" spans="1:22" x14ac:dyDescent="0.3">
      <c r="A200">
        <v>298</v>
      </c>
      <c r="B200">
        <v>1</v>
      </c>
      <c r="C200" t="s">
        <v>22</v>
      </c>
      <c r="D200" t="s">
        <v>23</v>
      </c>
      <c r="E200" s="1">
        <v>0.35</v>
      </c>
      <c r="F200">
        <v>38.19</v>
      </c>
      <c r="G200">
        <v>687.42</v>
      </c>
      <c r="H200">
        <v>51.5565</v>
      </c>
      <c r="I200">
        <f>Table1[[#This Row],[CookiesShipped]]*Table1[[#This Row],[Selling Price]]</f>
        <v>928.01700000000005</v>
      </c>
      <c r="J200">
        <v>18</v>
      </c>
      <c r="K200">
        <v>928.01700000000005</v>
      </c>
      <c r="L200">
        <v>240.59700000000009</v>
      </c>
      <c r="M200">
        <v>0.25925925925925936</v>
      </c>
      <c r="N200" s="2">
        <v>45148</v>
      </c>
      <c r="O200" s="2" t="str">
        <f>TEXT(Table1[[#This Row],[OrderDate]],"dddd")</f>
        <v>Thursday</v>
      </c>
      <c r="P200" s="2" t="str">
        <f>IF(AND(Table1[[#This Row],[OrderDate]]&gt;=DATE(2023,7,30),Table1[[#This Row],[OrderDate]]&lt;=DATE(2023,8,5)),"Week 1",
 IF(AND(Table1[[#This Row],[OrderDate]]&gt;=DATE(2023,8,6),Table1[[#This Row],[OrderDate]]&lt;=DATE(2023,8,12)),"Week 2",
 IF(AND(Table1[[#This Row],[OrderDate]]&gt;=DATE(2023,8,13),Table1[[#This Row],[OrderDate]]&lt;=DATE(2023,8,19)),"Week 3",
 IF(AND(Table1[[#This Row],[OrderDate]]&gt;=DATE(2023,8,20),Table1[[#This Row],[OrderDate]]&lt;=DATE(2023,8,26)),"Week 4","Week 5"))))</f>
        <v>Week 2</v>
      </c>
      <c r="Q200" s="2">
        <v>45153</v>
      </c>
      <c r="R200" s="2" t="str">
        <f>TEXT(Table1[[#This Row],[ShipDate]],"dddd")</f>
        <v>Tuesday</v>
      </c>
      <c r="S200" t="s">
        <v>41</v>
      </c>
      <c r="T200">
        <v>5</v>
      </c>
      <c r="U200" t="str">
        <f>IF(Table1[[#This Row],[DateDifference]]&lt;7,"Within Target","Outside Target")</f>
        <v>Within Target</v>
      </c>
      <c r="V200" t="s">
        <v>29</v>
      </c>
    </row>
    <row r="201" spans="1:22" x14ac:dyDescent="0.3">
      <c r="A201">
        <v>300</v>
      </c>
      <c r="B201">
        <v>4</v>
      </c>
      <c r="C201" t="s">
        <v>36</v>
      </c>
      <c r="D201" t="s">
        <v>37</v>
      </c>
      <c r="E201" s="1">
        <v>0.35</v>
      </c>
      <c r="F201">
        <v>15.11</v>
      </c>
      <c r="G201">
        <v>135.99</v>
      </c>
      <c r="H201">
        <v>20.398500000000002</v>
      </c>
      <c r="I201">
        <f>Table1[[#This Row],[CookiesShipped]]*Table1[[#This Row],[Selling Price]]</f>
        <v>183.58650000000003</v>
      </c>
      <c r="J201">
        <v>9</v>
      </c>
      <c r="K201">
        <v>183.58650000000003</v>
      </c>
      <c r="L201">
        <v>47.59650000000002</v>
      </c>
      <c r="M201">
        <v>0.2592592592592593</v>
      </c>
      <c r="N201" s="2">
        <v>45147</v>
      </c>
      <c r="O201" s="2" t="str">
        <f>TEXT(Table1[[#This Row],[OrderDate]],"dddd")</f>
        <v>Wednesday</v>
      </c>
      <c r="P201" s="2" t="str">
        <f>IF(AND(Table1[[#This Row],[OrderDate]]&gt;=DATE(2023,7,30),Table1[[#This Row],[OrderDate]]&lt;=DATE(2023,8,5)),"Week 1",
 IF(AND(Table1[[#This Row],[OrderDate]]&gt;=DATE(2023,8,6),Table1[[#This Row],[OrderDate]]&lt;=DATE(2023,8,12)),"Week 2",
 IF(AND(Table1[[#This Row],[OrderDate]]&gt;=DATE(2023,8,13),Table1[[#This Row],[OrderDate]]&lt;=DATE(2023,8,19)),"Week 3",
 IF(AND(Table1[[#This Row],[OrderDate]]&gt;=DATE(2023,8,20),Table1[[#This Row],[OrderDate]]&lt;=DATE(2023,8,26)),"Week 4","Week 5"))))</f>
        <v>Week 2</v>
      </c>
      <c r="Q201" s="2">
        <v>45152</v>
      </c>
      <c r="R201" s="2" t="str">
        <f>TEXT(Table1[[#This Row],[ShipDate]],"dddd")</f>
        <v>Monday</v>
      </c>
      <c r="S201" t="s">
        <v>40</v>
      </c>
      <c r="T201">
        <v>5</v>
      </c>
      <c r="U201" t="str">
        <f>IF(Table1[[#This Row],[DateDifference]]&lt;7,"Within Target","Outside Target")</f>
        <v>Within Target</v>
      </c>
      <c r="V201" t="s">
        <v>26</v>
      </c>
    </row>
  </sheetData>
  <phoneticPr fontId="2" type="noConversion"/>
  <pageMargins left="0.7" right="0.7" top="0.75" bottom="0.75" header="0.3" footer="0.3"/>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C2555E-6405-44B5-B067-C4026B318410}">
  <dimension ref="A2:O32"/>
  <sheetViews>
    <sheetView zoomScale="88" workbookViewId="0">
      <selection activeCell="D28" sqref="D28"/>
    </sheetView>
  </sheetViews>
  <sheetFormatPr defaultRowHeight="14.4" x14ac:dyDescent="0.3"/>
  <cols>
    <col min="1" max="1" width="13" bestFit="1" customWidth="1"/>
    <col min="2" max="2" width="24" bestFit="1" customWidth="1"/>
    <col min="5" max="5" width="13" bestFit="1" customWidth="1"/>
    <col min="6" max="7" width="16.88671875" bestFit="1" customWidth="1"/>
    <col min="10" max="10" width="13" bestFit="1" customWidth="1"/>
    <col min="11" max="11" width="15.77734375" bestFit="1" customWidth="1"/>
    <col min="12" max="12" width="16.88671875" bestFit="1" customWidth="1"/>
    <col min="14" max="15" width="19.5546875" bestFit="1" customWidth="1"/>
  </cols>
  <sheetData>
    <row r="2" spans="1:15" x14ac:dyDescent="0.3">
      <c r="A2">
        <v>1</v>
      </c>
      <c r="F2">
        <v>2</v>
      </c>
      <c r="K2">
        <v>3</v>
      </c>
    </row>
    <row r="3" spans="1:15" x14ac:dyDescent="0.3">
      <c r="A3" t="s">
        <v>55</v>
      </c>
      <c r="E3" t="s">
        <v>56</v>
      </c>
      <c r="J3" t="s">
        <v>57</v>
      </c>
      <c r="N3" t="s">
        <v>62</v>
      </c>
    </row>
    <row r="4" spans="1:15" x14ac:dyDescent="0.3">
      <c r="A4" s="6" t="s">
        <v>44</v>
      </c>
      <c r="B4" t="s">
        <v>45</v>
      </c>
      <c r="E4" s="6" t="s">
        <v>44</v>
      </c>
      <c r="F4" t="s">
        <v>42</v>
      </c>
      <c r="G4" t="s">
        <v>43</v>
      </c>
      <c r="J4" s="6" t="s">
        <v>44</v>
      </c>
      <c r="K4" t="s">
        <v>48</v>
      </c>
      <c r="L4" t="s">
        <v>43</v>
      </c>
      <c r="N4" t="s">
        <v>60</v>
      </c>
    </row>
    <row r="5" spans="1:15" x14ac:dyDescent="0.3">
      <c r="A5" s="3" t="s">
        <v>35</v>
      </c>
      <c r="B5" s="13">
        <v>27</v>
      </c>
      <c r="E5" s="3" t="s">
        <v>27</v>
      </c>
      <c r="F5" s="13">
        <v>62146.98000000001</v>
      </c>
      <c r="G5" s="10">
        <v>16112.180000000004</v>
      </c>
      <c r="J5" s="3" t="s">
        <v>27</v>
      </c>
      <c r="K5" s="13">
        <v>1870</v>
      </c>
      <c r="L5" s="13">
        <v>16112.180000000004</v>
      </c>
      <c r="N5" t="s">
        <v>45</v>
      </c>
    </row>
    <row r="6" spans="1:15" x14ac:dyDescent="0.3">
      <c r="A6" s="3" t="s">
        <v>39</v>
      </c>
      <c r="B6" s="13">
        <v>26</v>
      </c>
      <c r="E6" s="3" t="s">
        <v>30</v>
      </c>
      <c r="F6" s="13">
        <v>56180.479500000001</v>
      </c>
      <c r="G6" s="10">
        <v>14565.309500000001</v>
      </c>
      <c r="J6" s="3" t="s">
        <v>30</v>
      </c>
      <c r="K6" s="13">
        <v>1392</v>
      </c>
      <c r="L6" s="13">
        <v>14565.309500000001</v>
      </c>
      <c r="N6" s="13">
        <v>200</v>
      </c>
    </row>
    <row r="7" spans="1:15" x14ac:dyDescent="0.3">
      <c r="A7" s="3" t="s">
        <v>25</v>
      </c>
      <c r="B7" s="13">
        <v>29</v>
      </c>
      <c r="E7" s="3" t="s">
        <v>22</v>
      </c>
      <c r="F7" s="13">
        <v>79491.375</v>
      </c>
      <c r="G7" s="10">
        <v>20608.875000000004</v>
      </c>
      <c r="J7" s="3" t="s">
        <v>22</v>
      </c>
      <c r="K7" s="13">
        <v>2271</v>
      </c>
      <c r="L7" s="13">
        <v>20608.875000000004</v>
      </c>
      <c r="N7">
        <f>GETPIVOTDATA("[Measures].[Count of OrderID]",$N$5)</f>
        <v>200</v>
      </c>
    </row>
    <row r="8" spans="1:15" x14ac:dyDescent="0.3">
      <c r="A8" s="3" t="s">
        <v>38</v>
      </c>
      <c r="B8" s="13">
        <v>21</v>
      </c>
      <c r="E8" s="3" t="s">
        <v>33</v>
      </c>
      <c r="F8" s="13">
        <v>117744.34050000001</v>
      </c>
      <c r="G8" s="10">
        <v>30526.310500000003</v>
      </c>
      <c r="J8" s="3" t="s">
        <v>33</v>
      </c>
      <c r="K8" s="13">
        <v>2658</v>
      </c>
      <c r="L8" s="13">
        <v>30526.310500000003</v>
      </c>
      <c r="O8" t="s">
        <v>66</v>
      </c>
    </row>
    <row r="9" spans="1:15" x14ac:dyDescent="0.3">
      <c r="A9" s="3" t="s">
        <v>29</v>
      </c>
      <c r="B9" s="13">
        <v>30</v>
      </c>
      <c r="E9" s="3" t="s">
        <v>36</v>
      </c>
      <c r="F9" s="13">
        <v>67569.282000000007</v>
      </c>
      <c r="G9" s="10">
        <v>17517.962000000007</v>
      </c>
      <c r="J9" s="3" t="s">
        <v>36</v>
      </c>
      <c r="K9" s="13">
        <v>2062</v>
      </c>
      <c r="L9" s="13">
        <v>17517.962000000007</v>
      </c>
      <c r="N9" t="s">
        <v>42</v>
      </c>
    </row>
    <row r="10" spans="1:15" x14ac:dyDescent="0.3">
      <c r="A10" s="3" t="s">
        <v>32</v>
      </c>
      <c r="B10" s="13">
        <v>30</v>
      </c>
      <c r="E10" s="3" t="s">
        <v>47</v>
      </c>
      <c r="F10" s="13">
        <v>383132.45700000017</v>
      </c>
      <c r="G10" s="13">
        <v>99330.637000000061</v>
      </c>
      <c r="J10" s="3" t="s">
        <v>47</v>
      </c>
      <c r="K10" s="13">
        <v>10253</v>
      </c>
      <c r="L10" s="13">
        <v>99330.637000000061</v>
      </c>
      <c r="N10" s="13">
        <v>383132.45700000017</v>
      </c>
    </row>
    <row r="11" spans="1:15" x14ac:dyDescent="0.3">
      <c r="A11" s="3" t="s">
        <v>26</v>
      </c>
      <c r="B11" s="13">
        <v>37</v>
      </c>
      <c r="N11" s="8">
        <f>GETPIVOTDATA("[Measures].[Sum of New Revenue]",$N$9)</f>
        <v>383132.45700000017</v>
      </c>
    </row>
    <row r="12" spans="1:15" x14ac:dyDescent="0.3">
      <c r="A12" s="3" t="s">
        <v>47</v>
      </c>
      <c r="B12" s="13">
        <v>200</v>
      </c>
      <c r="O12" t="s">
        <v>65</v>
      </c>
    </row>
    <row r="13" spans="1:15" x14ac:dyDescent="0.3">
      <c r="N13" t="s">
        <v>43</v>
      </c>
    </row>
    <row r="14" spans="1:15" x14ac:dyDescent="0.3">
      <c r="A14">
        <v>4</v>
      </c>
      <c r="E14">
        <v>5</v>
      </c>
      <c r="J14">
        <v>6</v>
      </c>
      <c r="N14" s="13">
        <v>99330.637000000061</v>
      </c>
    </row>
    <row r="15" spans="1:15" x14ac:dyDescent="0.3">
      <c r="A15" s="3" t="s">
        <v>58</v>
      </c>
      <c r="E15" t="s">
        <v>59</v>
      </c>
      <c r="J15" t="s">
        <v>60</v>
      </c>
      <c r="N15" s="8">
        <f>GETPIVOTDATA("[Measures].[Sum of New Profit]",$N$13)</f>
        <v>99330.637000000061</v>
      </c>
    </row>
    <row r="16" spans="1:15" x14ac:dyDescent="0.3">
      <c r="A16" s="6" t="s">
        <v>44</v>
      </c>
      <c r="B16" t="s">
        <v>42</v>
      </c>
      <c r="E16" s="6" t="s">
        <v>44</v>
      </c>
      <c r="F16" t="s">
        <v>43</v>
      </c>
      <c r="J16" s="6" t="s">
        <v>44</v>
      </c>
      <c r="K16" t="s">
        <v>45</v>
      </c>
      <c r="O16" t="s">
        <v>64</v>
      </c>
    </row>
    <row r="17" spans="1:15" x14ac:dyDescent="0.3">
      <c r="A17" s="3" t="s">
        <v>50</v>
      </c>
      <c r="B17" s="10">
        <v>112123.35899999998</v>
      </c>
      <c r="E17" s="3" t="s">
        <v>50</v>
      </c>
      <c r="F17" s="10">
        <v>29069.018999999997</v>
      </c>
      <c r="J17" s="3" t="s">
        <v>41</v>
      </c>
      <c r="K17" s="13">
        <v>22</v>
      </c>
      <c r="N17" t="s">
        <v>48</v>
      </c>
    </row>
    <row r="18" spans="1:15" x14ac:dyDescent="0.3">
      <c r="A18" s="3" t="s">
        <v>51</v>
      </c>
      <c r="B18" s="10">
        <v>145499.86799999996</v>
      </c>
      <c r="E18" s="3" t="s">
        <v>51</v>
      </c>
      <c r="F18" s="10">
        <v>37722.188000000002</v>
      </c>
      <c r="J18" s="3" t="s">
        <v>40</v>
      </c>
      <c r="K18" s="13">
        <v>45</v>
      </c>
      <c r="N18" s="13">
        <v>10253</v>
      </c>
    </row>
    <row r="19" spans="1:15" x14ac:dyDescent="0.3">
      <c r="A19" s="3" t="s">
        <v>52</v>
      </c>
      <c r="B19" s="10">
        <v>82954.894500000024</v>
      </c>
      <c r="E19" s="3" t="s">
        <v>52</v>
      </c>
      <c r="F19" s="10">
        <v>21506.824499999995</v>
      </c>
      <c r="J19" s="3" t="s">
        <v>24</v>
      </c>
      <c r="K19" s="13">
        <v>133</v>
      </c>
      <c r="N19">
        <f>GETPIVOTDATA("[Measures].[Sum of CookiesShipped]",$N$17)</f>
        <v>10253</v>
      </c>
    </row>
    <row r="20" spans="1:15" x14ac:dyDescent="0.3">
      <c r="A20" s="3" t="s">
        <v>53</v>
      </c>
      <c r="B20" s="10">
        <v>37477.336499999998</v>
      </c>
      <c r="E20" s="3" t="s">
        <v>53</v>
      </c>
      <c r="F20" s="10">
        <v>9716.3465000000033</v>
      </c>
      <c r="J20" s="3" t="s">
        <v>47</v>
      </c>
      <c r="K20" s="13">
        <v>200</v>
      </c>
      <c r="O20" t="s">
        <v>63</v>
      </c>
    </row>
    <row r="21" spans="1:15" x14ac:dyDescent="0.3">
      <c r="A21" s="3" t="s">
        <v>54</v>
      </c>
      <c r="B21" s="10">
        <v>5076.9989999999998</v>
      </c>
      <c r="E21" s="3" t="s">
        <v>54</v>
      </c>
      <c r="F21" s="10">
        <v>1316.259</v>
      </c>
      <c r="N21" s="6" t="s">
        <v>44</v>
      </c>
      <c r="O21" t="s">
        <v>46</v>
      </c>
    </row>
    <row r="22" spans="1:15" x14ac:dyDescent="0.3">
      <c r="A22" s="3" t="s">
        <v>47</v>
      </c>
      <c r="B22" s="13">
        <v>383132.45700000017</v>
      </c>
      <c r="E22" s="3" t="s">
        <v>47</v>
      </c>
      <c r="F22" s="13">
        <v>99330.637000000061</v>
      </c>
      <c r="N22" s="3" t="s">
        <v>41</v>
      </c>
      <c r="O22" s="4">
        <v>0.11</v>
      </c>
    </row>
    <row r="23" spans="1:15" x14ac:dyDescent="0.3">
      <c r="N23" s="3" t="s">
        <v>40</v>
      </c>
      <c r="O23" s="4">
        <v>0.22500000000000001</v>
      </c>
    </row>
    <row r="24" spans="1:15" x14ac:dyDescent="0.3">
      <c r="A24">
        <v>7</v>
      </c>
      <c r="N24" s="3" t="s">
        <v>24</v>
      </c>
      <c r="O24" s="4">
        <v>0.66500000000000004</v>
      </c>
    </row>
    <row r="25" spans="1:15" x14ac:dyDescent="0.3">
      <c r="A25" s="3" t="s">
        <v>61</v>
      </c>
      <c r="N25" s="3" t="s">
        <v>47</v>
      </c>
      <c r="O25" s="4">
        <v>1</v>
      </c>
    </row>
    <row r="26" spans="1:15" x14ac:dyDescent="0.3">
      <c r="A26" s="6" t="s">
        <v>44</v>
      </c>
      <c r="B26" t="s">
        <v>49</v>
      </c>
      <c r="O26" s="11">
        <f>GETPIVOTDATA("[Measures].[Count of OrderStatus]",$N$21,"[Table1].[OrderStatus]","[Table1].[OrderStatus].&amp;[Cancelled]")</f>
        <v>0.11</v>
      </c>
    </row>
    <row r="27" spans="1:15" x14ac:dyDescent="0.3">
      <c r="A27" s="3" t="s">
        <v>41</v>
      </c>
      <c r="B27" s="5">
        <v>8.2272727272727266</v>
      </c>
      <c r="O27" s="11">
        <f>GETPIVOTDATA("[Measures].[Count of OrderStatus]",$N$21,"[Table1].[OrderStatus]","[Table1].[OrderStatus].&amp;[Pending]")</f>
        <v>0.22500000000000001</v>
      </c>
    </row>
    <row r="28" spans="1:15" x14ac:dyDescent="0.3">
      <c r="A28" s="3" t="s">
        <v>40</v>
      </c>
      <c r="B28" s="5">
        <v>9.9777777777777779</v>
      </c>
      <c r="O28" s="11">
        <f>GETPIVOTDATA("[Measures].[Count of OrderStatus]",$N$21,"[Table1].[OrderStatus]","[Table1].[OrderStatus].&amp;[Shipped]")</f>
        <v>0.66500000000000004</v>
      </c>
    </row>
    <row r="29" spans="1:15" x14ac:dyDescent="0.3">
      <c r="A29" s="3" t="s">
        <v>24</v>
      </c>
      <c r="B29" s="5">
        <v>9.7969924812030076</v>
      </c>
    </row>
    <row r="30" spans="1:15" x14ac:dyDescent="0.3">
      <c r="A30" s="3" t="s">
        <v>47</v>
      </c>
      <c r="B30" s="5">
        <v>9.6649999999999991</v>
      </c>
      <c r="N30" t="s">
        <v>67</v>
      </c>
    </row>
    <row r="31" spans="1:15" x14ac:dyDescent="0.3">
      <c r="N31" s="13">
        <v>5</v>
      </c>
    </row>
    <row r="32" spans="1:15" x14ac:dyDescent="0.3">
      <c r="N32">
        <f>GETPIVOTDATA("[Measures].[Distinct Count of RestaurantName]",$N$30)</f>
        <v>5</v>
      </c>
    </row>
  </sheetData>
  <pageMargins left="0.7" right="0.7" top="0.75" bottom="0.75" header="0.3" footer="0.3"/>
  <drawing r:id="rId1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2F46F-6B24-41EE-B488-50305722AB85}">
  <dimension ref="A1:T36"/>
  <sheetViews>
    <sheetView showGridLines="0" zoomScale="72" zoomScaleNormal="81" workbookViewId="0"/>
  </sheetViews>
  <sheetFormatPr defaultRowHeight="14.4" x14ac:dyDescent="0.3"/>
  <cols>
    <col min="14" max="18" width="8.88671875" style="7"/>
  </cols>
  <sheetData>
    <row r="1" spans="1:20" x14ac:dyDescent="0.3">
      <c r="C1" s="9"/>
      <c r="D1" s="9"/>
      <c r="E1" s="9"/>
      <c r="F1" s="9"/>
      <c r="G1" s="9"/>
      <c r="H1" s="9"/>
      <c r="I1" s="9"/>
      <c r="J1" s="9"/>
      <c r="K1" s="9"/>
      <c r="L1" s="9"/>
      <c r="M1" s="9"/>
      <c r="N1" s="9"/>
      <c r="O1" s="9"/>
      <c r="P1" s="9"/>
      <c r="Q1" s="9"/>
      <c r="R1" s="9"/>
      <c r="S1" s="9"/>
      <c r="T1" s="9"/>
    </row>
    <row r="2" spans="1:20" x14ac:dyDescent="0.3">
      <c r="A2" s="9"/>
      <c r="B2" s="9"/>
      <c r="C2" s="9"/>
      <c r="D2" s="9"/>
      <c r="E2" s="9"/>
      <c r="F2" s="9"/>
      <c r="G2" s="9"/>
      <c r="H2" s="9"/>
      <c r="I2" s="9"/>
      <c r="J2" s="9"/>
      <c r="K2" s="9"/>
      <c r="L2" s="9"/>
      <c r="M2" s="9"/>
      <c r="N2" s="9"/>
      <c r="O2" s="9"/>
      <c r="P2" s="9"/>
      <c r="Q2" s="9"/>
      <c r="R2" s="9"/>
      <c r="S2" s="9"/>
      <c r="T2" s="9"/>
    </row>
    <row r="3" spans="1:20" x14ac:dyDescent="0.3">
      <c r="A3" s="9"/>
      <c r="B3" s="9"/>
      <c r="C3" s="9"/>
      <c r="D3" s="9"/>
      <c r="E3" s="9"/>
      <c r="F3" s="9"/>
      <c r="G3" s="9"/>
      <c r="H3" s="9"/>
      <c r="I3" s="9"/>
      <c r="J3" s="9"/>
      <c r="K3" s="9"/>
      <c r="L3" s="9"/>
      <c r="M3" s="9"/>
      <c r="N3" s="9"/>
      <c r="O3" s="9"/>
      <c r="P3" s="9"/>
      <c r="Q3" s="9"/>
      <c r="R3" s="9"/>
      <c r="S3" s="9"/>
      <c r="T3" s="9"/>
    </row>
    <row r="4" spans="1:20" x14ac:dyDescent="0.3">
      <c r="A4" s="9"/>
      <c r="B4" s="9"/>
      <c r="C4" s="9"/>
      <c r="D4" s="9"/>
      <c r="E4" s="9"/>
      <c r="F4" s="9"/>
      <c r="G4" s="9"/>
      <c r="H4" s="9"/>
      <c r="I4" s="9"/>
      <c r="J4" s="9"/>
      <c r="K4" s="9"/>
      <c r="L4" s="9"/>
      <c r="M4" s="9"/>
      <c r="N4" s="9"/>
      <c r="O4" s="9"/>
      <c r="P4" s="9"/>
      <c r="Q4" s="9"/>
      <c r="R4" s="9"/>
      <c r="S4" s="9"/>
      <c r="T4" s="9"/>
    </row>
    <row r="5" spans="1:20" x14ac:dyDescent="0.3">
      <c r="A5" s="9"/>
      <c r="B5" s="9"/>
      <c r="C5" s="9"/>
      <c r="D5" s="9"/>
      <c r="E5" s="9"/>
      <c r="F5" s="9"/>
      <c r="G5" s="9"/>
      <c r="H5" s="9"/>
      <c r="I5" s="9"/>
      <c r="J5" s="9"/>
      <c r="K5" s="9"/>
      <c r="L5" s="9"/>
      <c r="M5" s="9"/>
      <c r="N5" s="9"/>
      <c r="O5" s="9"/>
      <c r="P5" s="9"/>
      <c r="Q5" s="9"/>
      <c r="R5" s="9"/>
      <c r="S5" s="9"/>
      <c r="T5" s="9"/>
    </row>
    <row r="6" spans="1:20" x14ac:dyDescent="0.3">
      <c r="A6" s="9"/>
      <c r="B6" s="9"/>
      <c r="C6" s="9"/>
      <c r="D6" s="9"/>
      <c r="E6" s="9"/>
      <c r="F6" s="9"/>
      <c r="G6" s="9"/>
      <c r="H6" s="9"/>
      <c r="I6" s="9"/>
      <c r="J6" s="9"/>
      <c r="K6" s="9"/>
      <c r="L6" s="9"/>
      <c r="M6" s="9"/>
      <c r="N6" s="9"/>
      <c r="O6" s="9"/>
      <c r="P6" s="9"/>
      <c r="Q6" s="9"/>
      <c r="R6" s="9"/>
      <c r="S6" s="9"/>
      <c r="T6" s="9"/>
    </row>
    <row r="7" spans="1:20" x14ac:dyDescent="0.3">
      <c r="A7" s="9"/>
      <c r="B7" s="9"/>
      <c r="C7" s="12"/>
      <c r="D7" s="12"/>
      <c r="E7" s="12"/>
      <c r="F7" s="12"/>
      <c r="G7" s="9"/>
      <c r="H7" s="9"/>
      <c r="I7" s="9"/>
      <c r="J7" s="9"/>
      <c r="K7" s="9"/>
      <c r="L7" s="9"/>
      <c r="M7" s="9"/>
      <c r="N7" s="9"/>
      <c r="O7" s="9"/>
      <c r="P7" s="9"/>
      <c r="Q7" s="9"/>
      <c r="R7" s="9"/>
      <c r="S7" s="9"/>
      <c r="T7" s="9"/>
    </row>
    <row r="8" spans="1:20" x14ac:dyDescent="0.3">
      <c r="A8" s="9"/>
      <c r="B8" s="9"/>
      <c r="C8" s="9"/>
      <c r="D8" s="9"/>
      <c r="E8" s="9"/>
      <c r="F8" s="9"/>
      <c r="G8" s="9"/>
      <c r="H8" s="9"/>
      <c r="I8" s="9"/>
      <c r="J8" s="9"/>
      <c r="K8" s="9"/>
      <c r="L8" s="9"/>
      <c r="M8" s="9"/>
      <c r="N8" s="9"/>
      <c r="O8" s="9"/>
      <c r="P8" s="9"/>
      <c r="Q8" s="9"/>
      <c r="R8" s="9"/>
      <c r="S8" s="9"/>
      <c r="T8" s="9"/>
    </row>
    <row r="9" spans="1:20" x14ac:dyDescent="0.3">
      <c r="A9" s="9"/>
      <c r="B9" s="9"/>
      <c r="C9" s="9"/>
      <c r="D9" s="9"/>
      <c r="E9" s="9"/>
      <c r="F9" s="9"/>
      <c r="G9" s="9"/>
      <c r="H9" s="9"/>
      <c r="I9" s="9"/>
      <c r="J9" s="9"/>
      <c r="K9" s="9"/>
      <c r="L9" s="9"/>
      <c r="M9" s="9"/>
      <c r="N9" s="9"/>
      <c r="O9" s="9"/>
      <c r="P9" s="9"/>
      <c r="Q9" s="9"/>
      <c r="R9" s="9"/>
      <c r="S9" s="9"/>
      <c r="T9" s="9"/>
    </row>
    <row r="10" spans="1:20" x14ac:dyDescent="0.3">
      <c r="A10" s="9"/>
      <c r="B10" s="9"/>
      <c r="C10" s="9"/>
      <c r="D10" s="9"/>
      <c r="E10" s="9"/>
      <c r="F10" s="9"/>
      <c r="G10" s="9"/>
      <c r="H10" s="9"/>
      <c r="I10" s="9"/>
      <c r="J10" s="9"/>
      <c r="K10" s="9"/>
      <c r="L10" s="9"/>
      <c r="M10" s="9"/>
      <c r="N10" s="9"/>
      <c r="O10" s="9"/>
      <c r="P10" s="9"/>
      <c r="Q10" s="9"/>
      <c r="R10" s="9"/>
      <c r="S10" s="9"/>
      <c r="T10" s="9"/>
    </row>
    <row r="11" spans="1:20" x14ac:dyDescent="0.3">
      <c r="A11" s="9"/>
      <c r="B11" s="9"/>
      <c r="C11" s="9"/>
      <c r="D11" s="9"/>
      <c r="E11" s="9"/>
      <c r="F11" s="9"/>
      <c r="G11" s="9"/>
      <c r="H11" s="9"/>
      <c r="I11" s="9"/>
      <c r="J11" s="9"/>
      <c r="K11" s="9"/>
      <c r="L11" s="9"/>
      <c r="M11" s="9"/>
      <c r="N11" s="9"/>
      <c r="O11" s="9"/>
      <c r="P11" s="9"/>
      <c r="Q11" s="9"/>
      <c r="R11" s="9"/>
      <c r="S11" s="9"/>
      <c r="T11" s="9"/>
    </row>
    <row r="12" spans="1:20" x14ac:dyDescent="0.3">
      <c r="A12" s="9"/>
      <c r="B12" s="9"/>
      <c r="C12" s="9"/>
      <c r="D12" s="12"/>
      <c r="E12" s="9"/>
      <c r="F12" s="9"/>
      <c r="G12" s="9"/>
      <c r="H12" s="9"/>
      <c r="I12" s="9"/>
      <c r="J12" s="9"/>
      <c r="K12" s="9"/>
      <c r="L12" s="9"/>
      <c r="M12" s="9"/>
      <c r="N12" s="9"/>
      <c r="O12" s="9"/>
      <c r="P12" s="9"/>
      <c r="Q12" s="9"/>
      <c r="R12" s="9"/>
      <c r="S12" s="9"/>
      <c r="T12" s="9"/>
    </row>
    <row r="13" spans="1:20" x14ac:dyDescent="0.3">
      <c r="A13" s="9"/>
      <c r="B13" s="9"/>
      <c r="C13" s="9"/>
      <c r="D13" s="9"/>
      <c r="E13" s="9"/>
      <c r="F13" s="9"/>
      <c r="G13" s="9"/>
      <c r="H13" s="9"/>
      <c r="I13" s="9"/>
      <c r="J13" s="9"/>
      <c r="K13" s="9"/>
      <c r="L13" s="9"/>
      <c r="M13" s="9"/>
      <c r="N13" s="9"/>
      <c r="O13" s="9"/>
      <c r="P13" s="9"/>
      <c r="Q13" s="9"/>
      <c r="R13" s="9"/>
      <c r="S13" s="9"/>
      <c r="T13" s="9"/>
    </row>
    <row r="14" spans="1:20" x14ac:dyDescent="0.3">
      <c r="A14" s="9"/>
      <c r="B14" s="9"/>
      <c r="C14" s="9"/>
      <c r="D14" s="9"/>
      <c r="E14" s="9"/>
      <c r="F14" s="9"/>
      <c r="G14" s="9"/>
      <c r="H14" s="9"/>
      <c r="I14" s="9"/>
      <c r="J14" s="9"/>
      <c r="K14" s="9"/>
      <c r="L14" s="9"/>
      <c r="M14" s="9"/>
      <c r="N14" s="9"/>
      <c r="O14" s="9"/>
      <c r="P14" s="9"/>
      <c r="Q14" s="9"/>
      <c r="R14" s="9"/>
      <c r="S14" s="9"/>
      <c r="T14" s="9"/>
    </row>
    <row r="15" spans="1:20" x14ac:dyDescent="0.3">
      <c r="A15" s="9"/>
      <c r="B15" s="9"/>
      <c r="C15" s="9"/>
      <c r="D15" s="9"/>
      <c r="E15" s="9"/>
      <c r="F15" s="9"/>
      <c r="G15" s="9"/>
      <c r="H15" s="9"/>
      <c r="I15" s="9"/>
      <c r="J15" s="9"/>
      <c r="K15" s="9"/>
      <c r="L15" s="9"/>
      <c r="M15" s="9"/>
      <c r="N15" s="9"/>
      <c r="O15" s="9"/>
      <c r="P15" s="9"/>
      <c r="Q15" s="9"/>
      <c r="R15" s="9"/>
      <c r="S15" s="9"/>
      <c r="T15" s="9"/>
    </row>
    <row r="16" spans="1:20" x14ac:dyDescent="0.3">
      <c r="A16" s="9"/>
      <c r="B16" s="9"/>
      <c r="C16" s="9"/>
      <c r="D16" s="9"/>
      <c r="E16" s="9"/>
      <c r="F16" s="9"/>
      <c r="G16" s="9"/>
      <c r="H16" s="9"/>
      <c r="I16" s="9"/>
      <c r="J16" s="9"/>
      <c r="K16" s="9"/>
      <c r="L16" s="9"/>
      <c r="M16" s="9"/>
      <c r="N16" s="9"/>
      <c r="O16" s="9"/>
      <c r="P16" s="9"/>
      <c r="Q16" s="9"/>
      <c r="R16" s="9"/>
      <c r="S16" s="9"/>
      <c r="T16" s="9"/>
    </row>
    <row r="17" spans="1:20" x14ac:dyDescent="0.3">
      <c r="A17" s="9"/>
      <c r="B17" s="9"/>
      <c r="C17" s="9"/>
      <c r="D17" s="9"/>
      <c r="E17" s="9"/>
      <c r="F17" s="9"/>
      <c r="G17" s="9"/>
      <c r="H17" s="9"/>
      <c r="I17" s="9"/>
      <c r="J17" s="9"/>
      <c r="K17" s="9"/>
      <c r="L17" s="9"/>
      <c r="M17" s="9"/>
      <c r="N17" s="9"/>
      <c r="O17" s="9"/>
      <c r="P17" s="9"/>
      <c r="Q17" s="9"/>
      <c r="R17" s="9"/>
      <c r="S17" s="9"/>
      <c r="T17" s="9"/>
    </row>
    <row r="18" spans="1:20" x14ac:dyDescent="0.3">
      <c r="A18" s="9"/>
      <c r="B18" s="9"/>
      <c r="C18" s="9"/>
      <c r="D18" s="9"/>
      <c r="E18" s="9"/>
      <c r="F18" s="9"/>
      <c r="G18" s="9"/>
      <c r="H18" s="9"/>
      <c r="I18" s="9"/>
      <c r="J18" s="9"/>
      <c r="K18" s="9"/>
      <c r="L18" s="9"/>
      <c r="M18" s="9"/>
      <c r="N18" s="9"/>
      <c r="O18" s="9"/>
      <c r="P18" s="9"/>
      <c r="Q18" s="9"/>
      <c r="R18" s="9"/>
      <c r="S18" s="9"/>
      <c r="T18" s="9"/>
    </row>
    <row r="19" spans="1:20" x14ac:dyDescent="0.3">
      <c r="A19" s="9"/>
      <c r="B19" s="9"/>
      <c r="C19" s="9"/>
      <c r="D19" s="9"/>
      <c r="E19" s="9"/>
      <c r="F19" s="9"/>
      <c r="G19" s="9"/>
      <c r="H19" s="9"/>
      <c r="I19" s="9"/>
      <c r="J19" s="9"/>
      <c r="K19" s="9"/>
      <c r="L19" s="9"/>
      <c r="M19" s="9"/>
      <c r="N19" s="9"/>
      <c r="O19" s="9"/>
      <c r="P19" s="9"/>
      <c r="Q19" s="9"/>
      <c r="R19" s="9"/>
      <c r="S19" s="9"/>
      <c r="T19" s="9"/>
    </row>
    <row r="20" spans="1:20" x14ac:dyDescent="0.3">
      <c r="A20" s="9"/>
      <c r="B20" s="9"/>
      <c r="C20" s="9"/>
      <c r="D20" s="9"/>
      <c r="E20" s="9"/>
      <c r="F20" s="9"/>
      <c r="G20" s="9"/>
      <c r="H20" s="9"/>
      <c r="I20" s="9"/>
      <c r="J20" s="9"/>
      <c r="K20" s="9"/>
      <c r="L20" s="9"/>
      <c r="M20" s="9"/>
      <c r="N20" s="9"/>
      <c r="O20" s="9"/>
      <c r="P20" s="9"/>
      <c r="Q20" s="9"/>
      <c r="R20" s="9"/>
      <c r="S20" s="9"/>
      <c r="T20" s="9"/>
    </row>
    <row r="21" spans="1:20" x14ac:dyDescent="0.3">
      <c r="A21" s="9"/>
      <c r="B21" s="9"/>
      <c r="C21" s="9"/>
      <c r="D21" s="9"/>
      <c r="E21" s="9"/>
      <c r="F21" s="9"/>
      <c r="G21" s="9"/>
      <c r="H21" s="9"/>
      <c r="I21" s="9"/>
      <c r="J21" s="9"/>
      <c r="K21" s="9"/>
      <c r="L21" s="9"/>
      <c r="M21" s="9"/>
      <c r="N21" s="9"/>
      <c r="O21" s="9"/>
      <c r="P21" s="9"/>
      <c r="Q21" s="9"/>
      <c r="R21" s="9"/>
      <c r="S21" s="9"/>
      <c r="T21" s="9"/>
    </row>
    <row r="22" spans="1:20" x14ac:dyDescent="0.3">
      <c r="A22" s="9"/>
      <c r="B22" s="9"/>
      <c r="C22" s="9"/>
      <c r="D22" s="9"/>
      <c r="E22" s="9"/>
      <c r="F22" s="9"/>
      <c r="G22" s="9"/>
      <c r="H22" s="9"/>
      <c r="I22" s="9"/>
      <c r="J22" s="9"/>
      <c r="K22" s="9"/>
      <c r="L22" s="9"/>
      <c r="M22" s="9"/>
      <c r="N22" s="9"/>
      <c r="O22" s="9"/>
      <c r="P22" s="9"/>
      <c r="Q22" s="9"/>
      <c r="R22" s="9"/>
      <c r="S22" s="9"/>
      <c r="T22" s="9"/>
    </row>
    <row r="23" spans="1:20" x14ac:dyDescent="0.3">
      <c r="A23" s="9"/>
      <c r="B23" s="9"/>
      <c r="C23" s="9"/>
      <c r="D23" s="9"/>
      <c r="E23" s="9"/>
      <c r="F23" s="9"/>
      <c r="G23" s="9"/>
      <c r="H23" s="9"/>
      <c r="I23" s="9"/>
      <c r="J23" s="9"/>
      <c r="K23" s="9"/>
      <c r="L23" s="9"/>
      <c r="M23" s="9"/>
      <c r="N23" s="9"/>
      <c r="O23" s="9"/>
      <c r="P23" s="9"/>
      <c r="Q23" s="9"/>
      <c r="R23" s="9"/>
      <c r="S23" s="9"/>
      <c r="T23" s="9"/>
    </row>
    <row r="24" spans="1:20" x14ac:dyDescent="0.3">
      <c r="A24" s="9"/>
      <c r="B24" s="9"/>
      <c r="C24" s="9"/>
      <c r="D24" s="9"/>
      <c r="E24" s="9"/>
      <c r="F24" s="9"/>
      <c r="G24" s="9"/>
      <c r="H24" s="9"/>
      <c r="I24" s="9"/>
      <c r="J24" s="9"/>
      <c r="K24" s="9"/>
      <c r="L24" s="9"/>
      <c r="M24" s="9"/>
      <c r="N24" s="9"/>
      <c r="O24" s="9"/>
      <c r="P24" s="9"/>
      <c r="Q24" s="9"/>
      <c r="R24" s="9"/>
      <c r="S24" s="9"/>
      <c r="T24" s="9"/>
    </row>
    <row r="25" spans="1:20" x14ac:dyDescent="0.3">
      <c r="A25" s="9"/>
      <c r="B25" s="9"/>
      <c r="C25" s="9"/>
      <c r="D25" s="9"/>
      <c r="E25" s="9"/>
      <c r="F25" s="9"/>
      <c r="G25" s="9"/>
      <c r="H25" s="9"/>
      <c r="I25" s="9"/>
      <c r="J25" s="9"/>
      <c r="K25" s="9"/>
      <c r="L25" s="9"/>
      <c r="M25" s="9"/>
      <c r="N25" s="9"/>
      <c r="O25" s="9"/>
      <c r="P25" s="9"/>
      <c r="Q25" s="9"/>
      <c r="R25" s="9"/>
      <c r="S25" s="9"/>
      <c r="T25" s="9"/>
    </row>
    <row r="26" spans="1:20" x14ac:dyDescent="0.3">
      <c r="A26" s="9"/>
      <c r="B26" s="9"/>
      <c r="C26" s="9"/>
      <c r="D26" s="9"/>
      <c r="E26" s="9"/>
      <c r="F26" s="9"/>
      <c r="G26" s="9"/>
      <c r="H26" s="9"/>
      <c r="I26" s="9"/>
      <c r="J26" s="9"/>
      <c r="K26" s="9"/>
      <c r="L26" s="9"/>
      <c r="M26" s="9"/>
      <c r="N26" s="9"/>
      <c r="O26" s="9"/>
      <c r="P26" s="9"/>
      <c r="Q26" s="9"/>
      <c r="R26" s="9"/>
      <c r="S26" s="9"/>
      <c r="T26" s="9"/>
    </row>
    <row r="27" spans="1:20" x14ac:dyDescent="0.3">
      <c r="A27" s="9"/>
      <c r="B27" s="9"/>
      <c r="C27" s="9"/>
      <c r="D27" s="9"/>
      <c r="E27" s="9"/>
      <c r="F27" s="9"/>
      <c r="G27" s="9"/>
      <c r="H27" s="9"/>
      <c r="I27" s="9"/>
      <c r="J27" s="9"/>
      <c r="K27" s="9"/>
      <c r="L27" s="9"/>
      <c r="M27" s="9"/>
      <c r="N27" s="9"/>
      <c r="O27" s="9"/>
      <c r="P27" s="9"/>
      <c r="Q27" s="9"/>
      <c r="R27" s="9"/>
      <c r="S27" s="9"/>
      <c r="T27" s="9"/>
    </row>
    <row r="28" spans="1:20" x14ac:dyDescent="0.3">
      <c r="A28" s="9"/>
      <c r="B28" s="9"/>
      <c r="C28" s="9"/>
      <c r="D28" s="9"/>
      <c r="E28" s="9"/>
      <c r="F28" s="9"/>
      <c r="G28" s="9"/>
      <c r="H28" s="9"/>
      <c r="I28" s="9"/>
      <c r="J28" s="9"/>
      <c r="K28" s="9"/>
      <c r="L28" s="9"/>
      <c r="M28" s="9"/>
      <c r="N28" s="9"/>
      <c r="O28" s="9"/>
      <c r="P28" s="9"/>
      <c r="Q28" s="9"/>
      <c r="R28" s="9"/>
      <c r="S28" s="9"/>
      <c r="T28" s="9"/>
    </row>
    <row r="29" spans="1:20" x14ac:dyDescent="0.3">
      <c r="A29" s="9"/>
      <c r="B29" s="9"/>
      <c r="C29" s="9"/>
      <c r="D29" s="9"/>
      <c r="E29" s="9"/>
      <c r="F29" s="9"/>
      <c r="G29" s="9"/>
      <c r="H29" s="9"/>
      <c r="I29" s="9"/>
      <c r="J29" s="9"/>
      <c r="K29" s="9"/>
      <c r="L29" s="9"/>
      <c r="M29" s="9"/>
      <c r="N29" s="9"/>
      <c r="O29" s="9"/>
      <c r="P29" s="9"/>
      <c r="Q29" s="9"/>
      <c r="R29" s="9"/>
      <c r="S29" s="9"/>
      <c r="T29" s="9"/>
    </row>
    <row r="30" spans="1:20" x14ac:dyDescent="0.3">
      <c r="A30" s="9"/>
      <c r="B30" s="9"/>
      <c r="C30" s="9"/>
      <c r="D30" s="9"/>
      <c r="E30" s="9"/>
      <c r="F30" s="9"/>
      <c r="G30" s="9"/>
      <c r="H30" s="9"/>
      <c r="I30" s="9"/>
      <c r="J30" s="9"/>
      <c r="K30" s="9"/>
      <c r="L30" s="9"/>
      <c r="M30" s="9"/>
      <c r="N30" s="9"/>
      <c r="O30" s="9"/>
      <c r="P30" s="9"/>
      <c r="Q30" s="9"/>
      <c r="R30" s="9"/>
      <c r="S30" s="9"/>
      <c r="T30" s="9"/>
    </row>
    <row r="31" spans="1:20" x14ac:dyDescent="0.3">
      <c r="A31" s="9"/>
      <c r="B31" s="9"/>
      <c r="C31" s="9"/>
      <c r="D31" s="9"/>
      <c r="E31" s="9"/>
      <c r="F31" s="9"/>
      <c r="G31" s="9"/>
      <c r="H31" s="9"/>
      <c r="I31" s="9"/>
      <c r="J31" s="9"/>
      <c r="K31" s="9"/>
      <c r="L31" s="9"/>
      <c r="M31" s="9"/>
      <c r="N31" s="9"/>
      <c r="O31" s="9"/>
      <c r="P31" s="9"/>
      <c r="Q31" s="9"/>
      <c r="R31" s="9"/>
      <c r="S31" s="9"/>
      <c r="T31" s="9"/>
    </row>
    <row r="32" spans="1:20" x14ac:dyDescent="0.3">
      <c r="A32" s="9"/>
      <c r="B32" s="9"/>
      <c r="C32" s="9"/>
      <c r="D32" s="9"/>
      <c r="E32" s="9"/>
      <c r="F32" s="9"/>
      <c r="G32" s="9"/>
      <c r="H32" s="9"/>
      <c r="I32" s="9"/>
      <c r="J32" s="9"/>
      <c r="K32" s="9"/>
      <c r="L32" s="9"/>
      <c r="M32" s="9"/>
      <c r="N32" s="9"/>
      <c r="O32" s="9"/>
      <c r="P32" s="9"/>
      <c r="Q32" s="9"/>
      <c r="R32" s="9"/>
      <c r="S32" s="9"/>
      <c r="T32" s="9"/>
    </row>
    <row r="33" spans="1:20" x14ac:dyDescent="0.3">
      <c r="A33" s="9"/>
      <c r="B33" s="9"/>
      <c r="C33" s="9"/>
      <c r="D33" s="9"/>
      <c r="E33" s="9"/>
      <c r="F33" s="9"/>
      <c r="G33" s="9"/>
      <c r="H33" s="9"/>
      <c r="I33" s="9"/>
      <c r="J33" s="9"/>
      <c r="K33" s="9"/>
      <c r="L33" s="9"/>
      <c r="M33" s="9"/>
      <c r="N33" s="9"/>
      <c r="O33" s="9"/>
      <c r="P33" s="9"/>
      <c r="Q33" s="9"/>
      <c r="R33" s="9"/>
      <c r="S33" s="9"/>
      <c r="T33" s="9"/>
    </row>
    <row r="34" spans="1:20" x14ac:dyDescent="0.3">
      <c r="A34" s="9"/>
      <c r="B34" s="9"/>
      <c r="C34" s="9"/>
      <c r="D34" s="9"/>
      <c r="E34" s="9"/>
      <c r="F34" s="9"/>
      <c r="G34" s="9"/>
      <c r="H34" s="9"/>
      <c r="I34" s="9"/>
      <c r="J34" s="9"/>
      <c r="K34" s="9"/>
      <c r="L34" s="9"/>
      <c r="M34" s="9"/>
      <c r="N34" s="9"/>
      <c r="O34" s="9"/>
      <c r="P34" s="9"/>
      <c r="Q34" s="9"/>
      <c r="R34" s="9"/>
      <c r="S34" s="9"/>
      <c r="T34" s="9"/>
    </row>
    <row r="35" spans="1:20" x14ac:dyDescent="0.3">
      <c r="A35" s="9"/>
      <c r="B35" s="9"/>
      <c r="C35" s="9"/>
      <c r="D35" s="9"/>
      <c r="E35" s="9"/>
      <c r="F35" s="9"/>
      <c r="G35" s="9"/>
      <c r="H35" s="9"/>
      <c r="I35" s="9"/>
      <c r="J35" s="9"/>
      <c r="K35" s="9"/>
      <c r="L35" s="9"/>
      <c r="M35" s="9"/>
      <c r="N35" s="9"/>
      <c r="O35" s="9"/>
      <c r="P35" s="9"/>
      <c r="Q35" s="9"/>
      <c r="R35" s="9"/>
      <c r="S35" s="9"/>
      <c r="T35" s="9"/>
    </row>
    <row r="36" spans="1:20" x14ac:dyDescent="0.3">
      <c r="A36" s="9"/>
      <c r="B36" s="9"/>
      <c r="C36" s="9"/>
      <c r="D36" s="9"/>
      <c r="E36" s="9"/>
      <c r="F36" s="9"/>
      <c r="G36" s="9"/>
      <c r="H36" s="9"/>
      <c r="I36" s="9"/>
      <c r="J36" s="9"/>
      <c r="K36" s="9"/>
      <c r="L36" s="9"/>
      <c r="M36" s="9"/>
      <c r="N36" s="9"/>
      <c r="O36" s="9"/>
      <c r="P36" s="9"/>
      <c r="Q36" s="9"/>
      <c r="R36" s="9"/>
      <c r="S36" s="9"/>
      <c r="T36" s="9"/>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Citybites_Data</vt:lpstr>
      <vt:lpstr>Pivot_Analysis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Omolara Onifade</dc:creator>
  <cp:lastModifiedBy>Omolara Onifade</cp:lastModifiedBy>
  <dcterms:created xsi:type="dcterms:W3CDTF">2025-11-06T13:54:18Z</dcterms:created>
  <dcterms:modified xsi:type="dcterms:W3CDTF">2025-12-11T21:39:26Z</dcterms:modified>
</cp:coreProperties>
</file>